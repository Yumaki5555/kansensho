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y-miy\Dropbox\AI作業場\感染症\"/>
    </mc:Choice>
  </mc:AlternateContent>
  <xr:revisionPtr revIDLastSave="0" documentId="13_ncr:1_{AD6264FA-045A-486F-9A6C-4E090536E4A7}" xr6:coauthVersionLast="47" xr6:coauthVersionMax="47" xr10:uidLastSave="{00000000-0000-0000-0000-000000000000}"/>
  <bookViews>
    <workbookView xWindow="22932" yWindow="-108" windowWidth="23256" windowHeight="12456" xr2:uid="{00000000-000D-0000-FFFF-FFFF00000000}"/>
  </bookViews>
  <sheets>
    <sheet name="はじめに" sheetId="1" r:id="rId1"/>
    <sheet name="4つの比較" sheetId="2" r:id="rId2"/>
    <sheet name="公費の支え" sheetId="3" r:id="rId3"/>
    <sheet name="HIV・エイズ" sheetId="4" r:id="rId4"/>
    <sheet name="HIV・世界の動向" sheetId="5" r:id="rId5"/>
    <sheet name="梅毒" sheetId="6" r:id="rId6"/>
    <sheet name="はしか" sheetId="7" r:id="rId7"/>
    <sheet name="結核" sheetId="8" r:id="rId8"/>
    <sheet name="見るときの注意" sheetId="9" r:id="rId9"/>
    <sheet name="出典一覧" sheetId="10" r:id="rId10"/>
  </sheets>
  <definedNames>
    <definedName name="_xlnm._FilterDatabase" localSheetId="2" hidden="1">公費の支え!$A$5:$E$17</definedName>
    <definedName name="_xlnm._FilterDatabase" localSheetId="9" hidden="1">出典一覧!$A$4:$G$83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8" l="1"/>
  <c r="D15" i="8"/>
  <c r="D14" i="8"/>
  <c r="D13" i="8"/>
  <c r="D12" i="8"/>
  <c r="D11" i="8"/>
  <c r="D10" i="8"/>
  <c r="D9" i="8"/>
  <c r="D8" i="8"/>
  <c r="D7" i="8"/>
  <c r="E21" i="7"/>
  <c r="C16" i="7"/>
  <c r="C15" i="7"/>
  <c r="C14" i="7"/>
  <c r="C13" i="7"/>
  <c r="C12" i="7"/>
  <c r="C11" i="7"/>
  <c r="C10" i="7"/>
  <c r="C9" i="7"/>
  <c r="C8" i="7"/>
  <c r="C7" i="7"/>
  <c r="E21" i="6"/>
  <c r="E16" i="6"/>
  <c r="E15" i="6"/>
  <c r="E14" i="6"/>
  <c r="E13" i="6"/>
  <c r="E12" i="6"/>
  <c r="E11" i="6"/>
  <c r="E10" i="6"/>
  <c r="E9" i="6"/>
  <c r="E8" i="6"/>
  <c r="E7" i="6"/>
  <c r="E22" i="4"/>
  <c r="E21" i="4"/>
  <c r="E20" i="4"/>
  <c r="D15" i="4"/>
  <c r="D5" i="2" s="1"/>
  <c r="D14" i="4"/>
  <c r="D13" i="4"/>
  <c r="E14" i="4" s="1"/>
  <c r="D12" i="4"/>
  <c r="E13" i="4" s="1"/>
  <c r="D11" i="4"/>
  <c r="E12" i="4" s="1"/>
  <c r="D10" i="4"/>
  <c r="E11" i="4" s="1"/>
  <c r="D9" i="4"/>
  <c r="E10" i="4" s="1"/>
  <c r="D8" i="4"/>
  <c r="E9" i="4" s="1"/>
  <c r="D7" i="4"/>
  <c r="E8" i="4" s="1"/>
  <c r="D6" i="4"/>
  <c r="M8" i="2"/>
  <c r="L8" i="2"/>
  <c r="N8" i="2" s="1"/>
  <c r="K8" i="2"/>
  <c r="H8" i="2"/>
  <c r="G8" i="2"/>
  <c r="E8" i="2"/>
  <c r="D8" i="2"/>
  <c r="C8" i="2"/>
  <c r="M7" i="2"/>
  <c r="L7" i="2"/>
  <c r="N7" i="2" s="1"/>
  <c r="K7" i="2"/>
  <c r="J7" i="2"/>
  <c r="H7" i="2"/>
  <c r="I7" i="2" s="1"/>
  <c r="G7" i="2"/>
  <c r="E7" i="2"/>
  <c r="D7" i="2"/>
  <c r="C7" i="2"/>
  <c r="M6" i="2"/>
  <c r="L6" i="2"/>
  <c r="N6" i="2" s="1"/>
  <c r="K6" i="2"/>
  <c r="J6" i="2"/>
  <c r="H6" i="2"/>
  <c r="G6" i="2"/>
  <c r="E6" i="2"/>
  <c r="D6" i="2"/>
  <c r="C6" i="2"/>
  <c r="M5" i="2"/>
  <c r="L5" i="2"/>
  <c r="N5" i="2" s="1"/>
  <c r="K5" i="2"/>
  <c r="G5" i="2"/>
  <c r="C5" i="2"/>
  <c r="F7" i="2" l="1"/>
  <c r="F6" i="2"/>
  <c r="I6" i="2"/>
  <c r="I5" i="2"/>
  <c r="E15" i="4"/>
  <c r="E5" i="2"/>
  <c r="F5" i="2" s="1"/>
  <c r="E7" i="4"/>
  <c r="H5" i="2"/>
  <c r="I8" i="2"/>
  <c r="F8" i="2"/>
</calcChain>
</file>

<file path=xl/sharedStrings.xml><?xml version="1.0" encoding="utf-8"?>
<sst xmlns="http://schemas.openxmlformats.org/spreadsheetml/2006/main" count="1895" uniqueCount="827">
  <si>
    <t>日本の感染症を知る：HIV/エイズ・梅毒・はしか・結核の状況</t>
  </si>
  <si>
    <t>作成日</t>
  </si>
  <si>
    <t>2026年10月26日（この日までに国が公表した資料をもとにしています）</t>
  </si>
  <si>
    <t>内容</t>
  </si>
  <si>
    <t>4つの感染症について、最新の人数、過去10年の動き、男女・年代・都道府県、2026年の途中経過、国の対策と、検査・予防・治療で使える公費の制度をまとめました。</t>
  </si>
  <si>
    <t>使った資料</t>
  </si>
  <si>
    <t>国の公式資料だけを使いました（厚生労働省、国立健康危機管理研究機構〔JIHS〕）。HIV/エイズの年報は、厚生労働省のページから案内されている「エイズ予防情報ネット」（国の委託先）に置かれているものを使っています。HIV/エイズの「世界の動向」だけは、国連の機関（国連合同エイズ計画〔UNAIDS〕・国際移住機関〔IOM〕）の公式資料を使っています。公費の制度のうち結核の医療費助成の一部は、東京都の公式ページで確かめました。</t>
  </si>
  <si>
    <t>シートの説明</t>
  </si>
  <si>
    <t>「4つの比較」…4つの病気を1つの表で比べます。
「公費の支え」…検査・予防・治療で使える公費の制度の一覧と、病気ごとの説明、HIVの治療の自己負担の上限。
「HIV・エイズ」「梅毒」「はしか」「結核」…病気ごとの詳しい数字です。
「HIV・世界の動向」…世界全体と、日本と協力覚書を結んだ国のHIVの状況（UNAIDSの推計）、移住者とHIV、入国前の健康診断。
「見るときの注意」…数字を読むときに気をつけること。
「出典一覧」…すべての資料名とURL。</t>
  </si>
  <si>
    <t>確定値</t>
  </si>
  <si>
    <t>国が1年分の届出を集計し直した数。</t>
  </si>
  <si>
    <t>速報値</t>
  </si>
  <si>
    <t>毎週や3か月ごとに出る途中の数。あとから変わることがあります。表では黄色で示しています。</t>
  </si>
  <si>
    <t>届出数</t>
  </si>
  <si>
    <t>医師が感染症と診断して保健所に届け出た数。検査を受けていない人などは入らないため、実際に感染している人の数とは同じではありません。</t>
  </si>
  <si>
    <t>罹患率（りかんりつ）</t>
  </si>
  <si>
    <t>人口10万人あたり、1年間に新しく病気になった人の数。人口の違う地域や年どうしを比べやすくなります。</t>
  </si>
  <si>
    <t>公費（こうひ）</t>
  </si>
  <si>
    <t>国や都道府県・市区町村が、税金などで費用を負担すること。</t>
  </si>
  <si>
    <t>4つの病気の比較</t>
  </si>
  <si>
    <t>数字は各病気のシートから自動で読み込んでいます。前年比・10年前と比べた倍率・前年同期比はここで計算したものです。</t>
  </si>
  <si>
    <t>病気</t>
  </si>
  <si>
    <t>数えているもの</t>
  </si>
  <si>
    <t>最新の確定値の年</t>
  </si>
  <si>
    <t>最新の確定値</t>
  </si>
  <si>
    <t>その前の年</t>
  </si>
  <si>
    <t>前年比</t>
  </si>
  <si>
    <t>10年前の年</t>
  </si>
  <si>
    <t>10年前の数</t>
  </si>
  <si>
    <t>10年前と比べて</t>
  </si>
  <si>
    <t>2025年（速報値）</t>
  </si>
  <si>
    <t>2026年の途中経過の期間</t>
  </si>
  <si>
    <t>2026年の途中経過</t>
  </si>
  <si>
    <t>前年の同じ時期</t>
  </si>
  <si>
    <t>前年同期比</t>
  </si>
  <si>
    <t>HIV/エイズ</t>
  </si>
  <si>
    <t>新たに報告されたHIV感染者とエイズ患者の合計（件）</t>
  </si>
  <si>
    <t>—</t>
  </si>
  <si>
    <t>梅毒</t>
  </si>
  <si>
    <t>医師が届け出た患者の数（人）</t>
  </si>
  <si>
    <t>はしか（麻しん）</t>
  </si>
  <si>
    <t>結核</t>
  </si>
  <si>
    <t>新たに登録された結核患者の数（人）</t>
  </si>
  <si>
    <t>・最新の確定値が出ている年は病気ごとに違います（HIV/エイズと結核は2025年、梅毒とはしかは2024年）。</t>
  </si>
  <si>
    <t>・「10年前の年」は、最新の確定値の年から数えて10年分の最初の年です。</t>
  </si>
  <si>
    <t>・2026年の途中経過は速報値で、病気によって期間が違います。結核の途中経過は医師の届出の数で、発病していない感染者も含むため、年報の「新登録患者数」とは比べられません。</t>
  </si>
  <si>
    <t>・黄色のセルは速報値です。</t>
  </si>
  <si>
    <t>公費で受けられる支え（検査・予防・治療）</t>
  </si>
  <si>
    <t>公費とは、国や都道府県・市区町村が税金などで費用を負担することです。4つの病気について、検査・予防・治療の場面で使える主な公費の制度を、国の法律や資料（結核の医療費の一部は東京都の資料）からまとめました。2026年10月26日時点の内容です。</t>
  </si>
  <si>
    <t>ひと目でわかる一覧</t>
  </si>
  <si>
    <t>場面</t>
  </si>
  <si>
    <t>目安</t>
  </si>
  <si>
    <t>出典ID</t>
  </si>
  <si>
    <t>検査・健診</t>
  </si>
  <si>
    <t>公費あり</t>
  </si>
  <si>
    <t>保健所などで、名前を伝えずに無料で検査を受けられる。妊婦健診でも妊娠の初めごろに1回検査する。</t>
  </si>
  <si>
    <t>HIV-14</t>
  </si>
  <si>
    <t>予防</t>
  </si>
  <si>
    <t>公費なし</t>
  </si>
  <si>
    <t>予防薬（PrEP）は2024年に承認されたが、費用を公費で出す仕組みは国の資料に書かれていない。</t>
  </si>
  <si>
    <t>公費-6</t>
  </si>
  <si>
    <t>治療</t>
  </si>
  <si>
    <t>身体障害者手帳（免疫機能障害）があれば「自立支援医療」が使え、1か月の自己負担は所得に応じて0円〜2万円まで。</t>
  </si>
  <si>
    <t>公費-5</t>
  </si>
  <si>
    <t>地域によって、保健所などで名前を伝えずに無料で検査を受けられる。妊婦健診でも妊娠の初めごろに1回検査する。</t>
  </si>
  <si>
    <t>梅毒-11</t>
  </si>
  <si>
    <t>予防の基本はコンドームを正しく使うこと。予防のための公費の制度は、国の資料には見当たらない。</t>
  </si>
  <si>
    <t>治療費を公費で出す感染症法の制度はなく、ふつうの健康保険で治療を受ける。</t>
  </si>
  <si>
    <t>公費-1</t>
  </si>
  <si>
    <t>自分から申し込んで受ける公費の検査は、国の資料には見当たらない。はしかと診断された人の確認の遺伝子検査は、都道府県などの地方衛生研究所が行う。</t>
  </si>
  <si>
    <t>はしか-15</t>
  </si>
  <si>
    <t>子どもの定期接種2回（1歳の1年間と、小学校に入る前の1年間）は公費。大人は定期接種の対象ではない（任意接種）。</t>
  </si>
  <si>
    <t>公費-8</t>
  </si>
  <si>
    <t>保健所などから健康診断を勧められた人（患者と接した人など）の健診は、費用を都道府県などが出す。</t>
  </si>
  <si>
    <t>赤ちゃんのBCGワクチンの定期接種は公費。</t>
  </si>
  <si>
    <t>申請すると治療費の95%を健康保険と公費で負担し、自己負担は5%。入院の勧告を受けたときは原則0円（所得の多い世帯は1か月2万円まで）。</t>
  </si>
  <si>
    <t>公費-2</t>
  </si>
  <si>
    <t>「公費なし」は、その場面で使える国の公費の制度が、国の法律や資料に見当たらないという意味です。</t>
  </si>
  <si>
    <t>治療費の公費のしくみ（感染症法）</t>
  </si>
  <si>
    <t>1. 感染症法で治療費を公費で負担するのは、入院の勧告を受けた患者（第37条）と、結核の患者（第37条の2）。どちらも健康保険が先に使われ、残りを公費で負担する（第39条）。（出典 公費-1）</t>
  </si>
  <si>
    <t>2. 入院の勧告ができるのは1類・2類感染症などで、結核は2類感染症。HIV/エイズ（後天性免疫不全症候群）・梅毒・はしか（麻しん）は5類感染症のため、入院の勧告や、それにともなう治療費の公費負担の対象ではない（第6条・第19条・第26条）。（出典 公費-1）</t>
  </si>
  <si>
    <t>1. 【検査】保健所や自治体の検査所では、名前や住所を伝えずに無料でHIV検査を受けられる。（出典 HIV-14）</t>
  </si>
  <si>
    <t>2. 【検査】妊婦健診では、妊娠の初めごろに1回HIVの検査をすることが国の基準に入っていて、市区町村が14回分ほどの健診費用を公費で出している。ただし、健診で自己負担が0円の人は約3割で、3万円以上かかる人も約1割いるなど、地域や医療機関によって差がある。（出典 公費-7）</t>
  </si>
  <si>
    <t>3. 【予防】HIVを防ぐ薬（PrEP、曝露前予防）は、2024年8月28日に国内で承認された（ツルバダ配合錠）。国の資料には、この薬の費用を公費で出す仕組みは書かれていない。（出典 公費-6）</t>
  </si>
  <si>
    <t>4. 【予防】2025年11月に改正された国のエイズ予防指針では、PrEPは「感染予防に有用な手段の一つ」とされ、さらに検討を進めることが重要とされている。（出典 HIV-15）</t>
  </si>
  <si>
    <t>5. 【治療】HIVによって免疫の働きが落ちた状態（免疫機能障害）は、市区町村が行う「自立支援医療（更生医療）」の対象で、抗HIV薬による治療（抗HIV療法）などHIV感染症の治療に使える。（出典 公費-4）</t>
  </si>
  <si>
    <t>6. 【治療】更生医療を使えるのは、身体障害者手帳を受けた18歳以上の人。（出典 公費-3）</t>
  </si>
  <si>
    <t>7. 【治療】自己負担は原則1割。HIV（免疫機能障害）は「費用が高い治療を長く続ける人（重度かつ継続）」に入るため、所得に応じて1か月の自己負担に上限がつき、0円〜2万円になる（下の表）。（出典 公費-5）</t>
  </si>
  <si>
    <t>HIVの治療：自立支援医療の1か月の自己負担の上限</t>
  </si>
  <si>
    <t>所得の区分（健康保険の世帯）</t>
  </si>
  <si>
    <t>1か月の上限（円）</t>
  </si>
  <si>
    <t>生活保護の世帯</t>
  </si>
  <si>
    <t>住民税がかからない世帯（本人の年収が82.65万円以下）</t>
  </si>
  <si>
    <t>住民税がかからない世帯（上記以外）</t>
  </si>
  <si>
    <t>住民税の所得割が3万3千円未満（年収約290〜400万円未満）</t>
  </si>
  <si>
    <t>住民税の所得割が3万3千円以上23万5千円未満（年収約400〜833万円未満）</t>
  </si>
  <si>
    <t>住民税の所得割が23万5千円以上（年収約833万円以上）</t>
  </si>
  <si>
    <t>注：HIV（免疫機能障害）は「重度かつ継続」に入るため、この上限になります。所得の区分は健康保険の世帯ごとに決まり、年収は夫婦と障害のある子の3人世帯の目安です。医療費の1割がこの上限より少ないときは、1割を払います。いちばん下の段（2万円）は、2027年3月31日までの特例です。</t>
  </si>
  <si>
    <t>1. 【検査】地域によっては、保健所などで名前を伝えずに無料で梅毒の検査を受けられる。（出典 梅毒-11）</t>
  </si>
  <si>
    <t>2. 【検査】妊婦健診では、妊娠の初めごろに1回梅毒の検査をすることが国の基準に入っていて、市区町村が14回分ほどの健診費用を公費で出している（自己負担は地域や医療機関によって差がある）。（出典 公費-7）</t>
  </si>
  <si>
    <t>3. 【予防】国のQ&amp;Aでは、予防の基本はコンドームを正しく使うことで、それでも100%は防げないとしている。予防のための公費の制度は、国の資料には見当たらない。（出典 梅毒-11）</t>
  </si>
  <si>
    <t>4. 【治療】梅毒は5類感染症で、感染症法で治療費を公費で負担する対象ではない。治療は、ふつうの健康保険で受ける。（出典 公費-1）</t>
  </si>
  <si>
    <t>1. 【検査】はしかと診断した医師が検体を出すと、都道府県などの地方衛生研究所が、原則としてすべての人に確認の遺伝子検査を行う。（出典 はしか-15）</t>
  </si>
  <si>
    <t>2. 【予防】はしか（MRワクチン）の定期接種は、国が対象者全員に受けてほしいとする予防接種（A類疾病）で、住んでいる市区町村で受ければ公費で受けられる。（出典 公費-8）</t>
  </si>
  <si>
    <t>3. 【予防】定期接種は2回で、1回目は1歳の1年間、2回目は小学校に入る前の1年間。（出典 はしか-12）</t>
  </si>
  <si>
    <t>4. 【予防】MRワクチンが一部の地域で足りなかったため、2024年度に定期接種の対象だったのに受けられなかった子ども（1回目・2回目）は、市区町村長が認めれば、2027年3月31日まで公費で受けられる。（出典 公費-9）</t>
  </si>
  <si>
    <t>5. 【予防】1962年4月2日〜1979年4月1日生まれの男性への風しんの追加対策（抗体検査と、抗体が足りない人へのMRワクチンの定期接種）は2024年度末で終わった。2024年度末までに抗体検査を受けて抗体が足りず、ワクチン不足で接種できなかった人は、市区町村長が認めれば2027年3月31日まで公費で受けられる。（出典 公費-9）</t>
  </si>
  <si>
    <t>6. 【予防】大人は定期接種の対象ではなく「任意接種」になる。国は2026年4月、はしかの増加を受けて、任意接種の対象の人（はしかにかかったことがなく、ワクチンを受けていない・1回だけ・受けたか分からない人など）にも接種を呼びかけている。費用の助成があるかは、住んでいる市区町村で確かめる必要がある。（出典 はしか-12）</t>
  </si>
  <si>
    <t>7. 【治療】はしかは5類感染症で、感染症法で治療費を公費で負担する対象ではない。治療は、ふつうの健康保険で受ける。（出典 公費-1）</t>
  </si>
  <si>
    <t>1. 【検査】結核にかかっている疑いがあるとして、保健所（都道府県知事など）から健康診断を受けるよう勧められた人（患者と接した人など）の健診は、費用を都道府県などが出す（感染症法第17条・第58条）。（出典 公費-1）</t>
  </si>
  <si>
    <t>2. 【予防】赤ちゃんのBCGワクチンの定期接種（国が対象者全員に受けてほしいとするA類疾病）は、住んでいる市区町村で受ければ公費で受けられる。（出典 公費-8）</t>
  </si>
  <si>
    <t>3. 【治療】通院などの結核の治療は、申請すると、結核指定医療機関での治療費の95%を健康保険と公費で負担し、自己負担は5%になる（感染症法第37条の2）。たとえば医療費が1万円なら、ふだんの3割負担では3,000円のところが500円になる。（出典 公費-1）</t>
  </si>
  <si>
    <t>4. 【治療】発病していないが、最近感染して発病のおそれが高い人（潜在性結核感染症）の治療も対象になる。（出典 公費-2）</t>
  </si>
  <si>
    <t>5. 【治療】申請先は住んでいる地域の保健所で、公費が使えるのは原則として保健所が申請を受け付けた日から。早めの申請が大切。（出典 公費-2）</t>
  </si>
  <si>
    <t>6. 【治療】この負担は申請から6か月たつと打ち切られるため、治療を続けるときは申請し直す（感染症法第37条の2第4項）。（出典 公費-1）</t>
  </si>
  <si>
    <t>7. 【治療】東京都では、住民税がかからない人などは残りの5%も助成され、自己負担がなくなる（ほかの地域の扱いは、住んでいる地域の保健所で確かめる必要がある）。（出典 公費-2）</t>
  </si>
  <si>
    <t>8. 【治療】人にうつすおそれがあるとして入院の勧告を受けた場合は、健康保険を使ったあとの自己負担分を公費で負担する（感染症法第37条）。ただし、世帯の住民税（所得割）の合計が56万4千円を超える場合は、1か月2万円までの自己負担がある。（出典 公費-2）</t>
  </si>
  <si>
    <t>この内容を見るときの注意</t>
  </si>
  <si>
    <t>・ここにある制度は2026年10月26日時点のものです。申請のしかたや細かい条件は、住んでいる地域の保健所や市区町村の窓口で確かめてください。</t>
  </si>
  <si>
    <t>・市区町村などによっては、国の制度に上乗せした独自の助成がある場合があります。ここでは、国の制度と、結核の医療費について東京都のページで確かめた内容だけを載せています。</t>
  </si>
  <si>
    <t>・一覧の「公費なし」は、その場面で使える国の公費の制度が、国の法律や資料に見当たらないという意味です。生活保護や、市区町村の子どもの医療費助成など、病気を問わない制度は含めていません。</t>
  </si>
  <si>
    <t>・健康保険の「高額療養費制度」（1か月の医療費の自己負担が高くなりすぎないようにする仕組み）は、公費ではないため扱っていません。</t>
  </si>
  <si>
    <t>・結核の「医療費1万円なら500円」は、このまとめで計算した例です。</t>
  </si>
  <si>
    <t>数え方：医師が診断後7日以内に保健所を通じて都道府県知事へ届け出た件数（感染症法の5類感染症・全数把握「後天性免疫不全症候群」）を、厚生労働省エイズ動向委員会が報告年ごとに集計したもの。「HIV感染者」は無症候性キャリア等として届け出られた人、「エイズ患者」は初めて届け出られた時点で既にエイズと診断されていた人（HIV感染者として報告済みの人が後にエイズを発症した分は含まない）。血液凝固因子製剤による感染例（薬害）は含まない。単位は件（≒人）。</t>
  </si>
  <si>
    <t>年ごとの推移</t>
  </si>
  <si>
    <t>年</t>
  </si>
  <si>
    <t>HIV感染者</t>
  </si>
  <si>
    <t>エイズ患者</t>
  </si>
  <si>
    <t>合計</t>
  </si>
  <si>
    <t>前年比（合計）</t>
  </si>
  <si>
    <t>区分</t>
  </si>
  <si>
    <t>確定</t>
  </si>
  <si>
    <t>HIV-4</t>
  </si>
  <si>
    <t>黄色の行は速報値（あとで変わることがあります）。それ以外は確定値。前年比はこの表で計算したもの。</t>
  </si>
  <si>
    <t>2026年の途中経過（速報）</t>
  </si>
  <si>
    <t>指標</t>
  </si>
  <si>
    <t>期間</t>
  </si>
  <si>
    <t>2026年</t>
  </si>
  <si>
    <t>前年同期</t>
  </si>
  <si>
    <t>2026年1〜6月ごろ（第1・第2四半期）</t>
  </si>
  <si>
    <t>速報</t>
  </si>
  <si>
    <t>HIV-10</t>
  </si>
  <si>
    <t>期間のくわしい説明：2026年第1・第2四半期（2025年12月29日〜2026年6月28日の報告分。おおむね2026年1〜6月）</t>
  </si>
  <si>
    <t>注：資料には四半期ごとの値しかないため、第1・第2四半期の値を足したもの（HIV 173+165、エイズ 52+87、前年同期 HIV 148+156・エイズ 52+67）。検算：2026年第2四半期時点の累計（HIV-11 表2）HIV 26,156−2025年末累計25,818＝338、エイズ 11,586−11,447＝139 で一致。前年同期の値は2026年9月の委員長コメントに載っている2025年当時の四半期速報値。</t>
  </si>
  <si>
    <t>男女別（2025年）</t>
  </si>
  <si>
    <t>男性</t>
  </si>
  <si>
    <t>女性</t>
  </si>
  <si>
    <t>HIV-3</t>
  </si>
  <si>
    <t>注：資料の記述：HIV感染者とエイズ患者を合わせた新規報告の約95%を男性が占める（HIV-2）。</t>
  </si>
  <si>
    <t>年代別（2025年）</t>
  </si>
  <si>
    <t>10歳未満</t>
  </si>
  <si>
    <t>HIV-5</t>
  </si>
  <si>
    <t>10-14歳</t>
  </si>
  <si>
    <t>15-19歳</t>
  </si>
  <si>
    <t>20-24歳</t>
  </si>
  <si>
    <t>25-29歳</t>
  </si>
  <si>
    <t>30-34歳</t>
  </si>
  <si>
    <t>35-39歳</t>
  </si>
  <si>
    <t>40-44歳</t>
  </si>
  <si>
    <t>45-49歳</t>
  </si>
  <si>
    <t>50-54歳</t>
  </si>
  <si>
    <t>55-59歳</t>
  </si>
  <si>
    <t>60歳以上</t>
  </si>
  <si>
    <t>不明</t>
  </si>
  <si>
    <t>注：資料（表6-1）の5歳刻みの区分どおり。60歳以上の内訳（再掲）はHIV感染者：60-64歳12・65-69歳6・70-74歳5・75歳以上8、エイズ患者：60-64歳9・65-69歳14・70-74歳7・75歳以上2。最多はHIV感染者が30-34歳、エイズ患者が40-44歳（HIV-2の記述とも一致）。</t>
  </si>
  <si>
    <t>都道府県別 上位5（2025年、人数の多い順）</t>
  </si>
  <si>
    <t>順位</t>
  </si>
  <si>
    <t>人数（感染者＋患者）</t>
  </si>
  <si>
    <t>HIV感染者（人口10万対）</t>
  </si>
  <si>
    <t>エイズ患者（人口10万対）</t>
  </si>
  <si>
    <t>東京都</t>
  </si>
  <si>
    <t>HIV-6</t>
  </si>
  <si>
    <t>大阪府</t>
  </si>
  <si>
    <t>神奈川県</t>
  </si>
  <si>
    <t>愛知県</t>
  </si>
  <si>
    <t>福岡県</t>
  </si>
  <si>
    <t>注：count は表10-1（HIV感染者）と表10-4（エイズ患者）の2025年値を足したもの（資料に合算値・合算の人口10万対はない）。人口10万対は資料の値（2025年報告数÷2024年10月1日現在総人口［総務省統計局 令和7年4月14日公表］×10万、PDF表示の小数3桁）で、感染者・患者別にしか載っていないため rate_per_100k は null。6位以下：千葉県37（25+12）、埼玉県31（19+12）、北海道30（25+5）。</t>
  </si>
  <si>
    <t>新規報告に占めるエイズ患者の割合（2025年）</t>
  </si>
  <si>
    <t>2025年(%)</t>
  </si>
  <si>
    <t>2024年(%)</t>
  </si>
  <si>
    <t>HIV-2</t>
  </si>
  <si>
    <t>東京都・大阪府を除く全国</t>
  </si>
  <si>
    <t>全国</t>
  </si>
  <si>
    <t>注：エイズを発症してから初めてHIV感染がわかった人の割合。資料に書かれた値。</t>
  </si>
  <si>
    <t>1985年からの累積報告数（2025年末）</t>
  </si>
  <si>
    <t>累積</t>
  </si>
  <si>
    <t>注：1985年からの累積報告数。凝固因子製剤による感染例を含まない。エイズ患者には1999年3月31日までの病状変化によるエイズ患者報告154件を含む（HIV-11 表2の注）。参考：2026年第2四半期（速報）時点の累計はHIV感染者26,156・エイズ患者11,586・合計37,742（HIV-11 表2）。このほか凝固因子製剤による感染者1,440人（2024年5月31日現在、血液凝固異常症全国調査）。</t>
  </si>
  <si>
    <t>感染経路別（2025年）</t>
  </si>
  <si>
    <t>同性間の性的接触（両性間を含む）</t>
  </si>
  <si>
    <t>異性間の性的接触</t>
  </si>
  <si>
    <t>静注薬物使用</t>
  </si>
  <si>
    <t>母子感染</t>
  </si>
  <si>
    <t>その他</t>
  </si>
  <si>
    <t>注：HIV感染者・エイズ患者の値は表1（HIV-3）、合計列は概要の図6-c（HIV-2）に記載の値。割合（HIV-2図6）：HIV感染者は同性間64.7%・異性間14.6%・母子0.2%・その他7.1%・不明13.5%、エイズ患者は同性間52.3%・異性間19.5%・その他9.0%・不明19.2%。「その他」には輸血等や感染経路が複数考えられる例、届出の「性的接触だが同性間か異性間か不明」を含む（合計68件のうち性的接触の不明63件）。静注薬物使用は0件だが、その他のうち静注薬物使用の可能性もあるものが2件。</t>
  </si>
  <si>
    <t>国籍・性別（2025年）</t>
  </si>
  <si>
    <t>日本国籍・男性</t>
  </si>
  <si>
    <t>日本国籍・女性</t>
  </si>
  <si>
    <t>外国国籍・男性</t>
  </si>
  <si>
    <t>外国国籍・女性</t>
  </si>
  <si>
    <t>注：国籍不明は外国国籍として集計。外国国籍男性のHIV感染者145件は過去最多（HIV-2）。</t>
  </si>
  <si>
    <t>保健所等におけるHIV検査件数・相談件数の推移</t>
  </si>
  <si>
    <t>HIV検査件数</t>
  </si>
  <si>
    <t>相談件数</t>
  </si>
  <si>
    <t>2019年</t>
  </si>
  <si>
    <t>2020年</t>
  </si>
  <si>
    <t>2021年</t>
  </si>
  <si>
    <t>2022年</t>
  </si>
  <si>
    <t>2023年</t>
  </si>
  <si>
    <t>2024年</t>
  </si>
  <si>
    <t>2025年</t>
  </si>
  <si>
    <t>注：HIV検査件数は保健所の検査と自治体が実施する保健所以外の検査（医療機関への委託など）の合計で、郵送検査を含まない（HIV-2の本文の値。2025年の内訳は直営67,337件・委託39,419件［HIV-8］）。2025年9月9日から自治体実施のHIV郵送検査も集計対象になり、2025年は送付327件・結果判定216件。委員長コメント（HIV-1）の「HIV抗体検査及びHIV郵送検査件数107,083件（過去20年で5番目に少ない）」は106,756件＋郵送送付327件。相談件数73,359件は過去20年で4番目に少ない（HIV-1）。相談件数はHIV-9。</t>
  </si>
  <si>
    <t>2026年第1・第2四半期（速報）の四半期別報告数と前年同期</t>
  </si>
  <si>
    <t>2026年第1四半期（2025/12/29〜2026/3/29）</t>
  </si>
  <si>
    <t>2026年第2四半期（2026/3/30〜2026/6/28）</t>
  </si>
  <si>
    <t>前年同期 2025年第1四半期</t>
  </si>
  <si>
    <t>前年同期 2025年第2四半期</t>
  </si>
  <si>
    <t>注：すべて委員長コメント（HIV-10）記載の値。HIV感染者は前年同期比 第1四半期+約17%・第2四半期+約6%、エイズ患者は第1四半期横ばい・第2四半期+約30%（HIV-10）。</t>
  </si>
  <si>
    <t>2026年第1・第2四半期（速報）の保健所等の検査件数・相談件数</t>
  </si>
  <si>
    <t>前年同期（2025年）</t>
  </si>
  <si>
    <t>HIV抗体検査＋郵送検査件数 第1四半期</t>
  </si>
  <si>
    <t>HIV抗体検査＋郵送検査件数 第2四半期</t>
  </si>
  <si>
    <t>相談件数 第1四半期</t>
  </si>
  <si>
    <t>相談件数 第2四半期</t>
  </si>
  <si>
    <t>注：2026年の検査件数の内訳：直営 第1四半期14,462・第2四半期14,798、委託 7,763・8,590、郵送 546・649（HIV-10）。前年同期比 検査は約-14%・約-10%、相談は約-16%・約-17%（HIV-10）。2025年第1・第2四半期はまだ郵送検査の集計開始前。</t>
  </si>
  <si>
    <t>最近の特徴</t>
  </si>
  <si>
    <t>1. 2025年の新規HIV感染者は624件で過去20年で最も少なく、新規エイズ患者266件と合計890件は過去20年で2番目に少なかった（前年比：感染者約6%減、患者約20%減）。（出典 HIV-1）</t>
  </si>
  <si>
    <t>2. 新規報告に占めるエイズ患者の割合（エイズを発症して初めてHIV感染がわかった人の割合）は29.9%（前年33.4%）で、依然として約3割。東京都・大阪府以外の地域では36.7%と高い。（出典 HIV-2）</t>
  </si>
  <si>
    <t>3. 新規報告の約95%が男性。感染経路は、HIV感染者の64.7%、エイズ患者の52.3%が同性間の性的接触。HIV感染者は20〜30歳代、エイズ患者は30〜50歳代が多い。（出典 HIV-2）</t>
  </si>
  <si>
    <t>4. 外国国籍男性のHIV感染者の新規報告は145件で過去最多。資料は外国国籍の人への検査体制や受診しやすい環境の整備が重要としている。（出典 HIV-2）</t>
  </si>
  <si>
    <t>5. 保健所等の検査件数は新型コロナ流行前（2019年142,260件）を下回る水準が続き、2026年第1・第2四半期は前年同期より減った一方、新規報告数は増えた。委員会は、エイズを発症するまで診断されていない人が増えている可能性に注意が必要としている。（出典 HIV-10）</t>
  </si>
  <si>
    <t>国の主な対策</t>
  </si>
  <si>
    <t>1. 保健所や自治体の検査所では、名前や住所を伝えずに無料でHIV検査を受けられる（自治体によっては医療機関に委託した無料・匿名検査もある）。（出典 HIV-14）</t>
  </si>
  <si>
    <t>2. 国のエイズ対策は「エイズ予防指針」（後天性免疫不全症候群に関する特定感染症予防指針）に沿って行われ、2025年（令和7年）11月10日に全部改正された。人権の尊重を第一に位置づけ、U=U（治療でウイルスが検出されない状態なら性行為でうつらない）の理解促進、PrEP（感染前に予防のために飲む薬）を予防に役立つ手段として記載、保健所等による郵送検査や外部委託の活用検討などを盛り込んだ。（出典 HIV-15）</t>
  </si>
  <si>
    <t>3. 改正指針は、国連合同エイズ計画（UNAIDS）の「95-95-95目標」（感染者の95%が感染を知り、その95%が治療を受け、その95%でウイルスが抑えられる）の達成を目指すとしている。（出典 HIV-15）</t>
  </si>
  <si>
    <t>4. 毎年6月1〜7日の「HIV検査普及週間」と12月1日の「世界エイズデー」に合わせて、検査の呼びかけや啓発イベントを行っている。（出典 HIV-14）</t>
  </si>
  <si>
    <t>公費で受けられる支え</t>
  </si>
  <si>
    <t>4つの病気の一覧や、HIVの治療の自己負担の上限の表は「公費の支え」シートにあります。</t>
  </si>
  <si>
    <t>この病気の数字を見るときの注意</t>
  </si>
  <si>
    <t>・年は「報告された年」で、診断された年ではありません。</t>
  </si>
  <si>
    <t>・2016〜2022年の合計は、HIV感染者とエイズ患者の数を足したものです（2023年以降は資料に合計が書かれています）。</t>
  </si>
  <si>
    <t>・2024年は、速報値（合計1,000件）が確定値では994件に直されました。</t>
  </si>
  <si>
    <t>・感染経路の「その他」は、2019年に届出用紙が変わって中身が変わったため、それより前の年とは比べにくくなっています。</t>
  </si>
  <si>
    <t>・2025年の検査件数は、郵送検査を含まない106,756件を使いました。2025年9月から郵送検査も数えるようになったため、過去の年と比べるときは郵送を除く必要があります。</t>
  </si>
  <si>
    <t>・厚生労働省の「HIVとエイズ」のページは、2026年10月26日時点でまだ2024年の数字のままでした。</t>
  </si>
  <si>
    <t>HIV/エイズ 世界の動向</t>
  </si>
  <si>
    <t>数え方：国連合同エイズ計画（UNAIDS）が各国と一緒に作った推計値（2026年版の推計で、2025年の数字）。届出で数えた数ではなく、調査や報告のデータをもとに計算した「おおよその数」です。「感染している人」はHIVとともに生きている人の数、「新たな感染」はその1年間に新たにHIVに感染した人、「エイズによる死亡」はその1年間にエイズに関連する病気で亡くなった人の推計です。</t>
  </si>
  <si>
    <t>世界と地域（2025年）</t>
  </si>
  <si>
    <t>名前</t>
  </si>
  <si>
    <t>協力覚書</t>
  </si>
  <si>
    <t>感染している人</t>
  </si>
  <si>
    <t>感染している人（下限）</t>
  </si>
  <si>
    <t>感染している人（上限）</t>
  </si>
  <si>
    <t>15〜49歳の感染率（%）</t>
  </si>
  <si>
    <t>新たな感染</t>
  </si>
  <si>
    <t>新たな感染の増減（2010年比・%）</t>
  </si>
  <si>
    <t>エイズによる死亡</t>
  </si>
  <si>
    <t>死亡の増減（2010年比・%）</t>
  </si>
  <si>
    <t>感染を知っている人（%）</t>
  </si>
  <si>
    <t>治療を受けている人（%）</t>
  </si>
  <si>
    <t>ウイルスが抑えられている人（%）</t>
  </si>
  <si>
    <t>世界</t>
  </si>
  <si>
    <t>世界-2</t>
  </si>
  <si>
    <t>アジア太平洋</t>
  </si>
  <si>
    <t>地域</t>
  </si>
  <si>
    <t>世界-1</t>
  </si>
  <si>
    <t>東欧・中央アジア</t>
  </si>
  <si>
    <t>日本と協力覚書を結んだ国（2025年、感染している人の多い順）</t>
  </si>
  <si>
    <t>インド</t>
  </si>
  <si>
    <t>国</t>
  </si>
  <si>
    <t>特定技能・技能実習</t>
  </si>
  <si>
    <t>タイ</t>
  </si>
  <si>
    <t>インドネシア</t>
  </si>
  <si>
    <t>パキスタン</t>
  </si>
  <si>
    <t>ミャンマー</t>
  </si>
  <si>
    <t>ベトナム</t>
  </si>
  <si>
    <t>フィリピン</t>
  </si>
  <si>
    <t>マレーシア</t>
  </si>
  <si>
    <t>特定技能</t>
  </si>
  <si>
    <t>カンボジア</t>
  </si>
  <si>
    <t>ウズベキスタン</t>
  </si>
  <si>
    <t>ネパール</t>
  </si>
  <si>
    <t>ラオス</t>
  </si>
  <si>
    <t>&lt;500</t>
  </si>
  <si>
    <t>バングラデシュ</t>
  </si>
  <si>
    <t>&lt;0.1</t>
  </si>
  <si>
    <t>タジキスタン</t>
  </si>
  <si>
    <t>キルギス</t>
  </si>
  <si>
    <t>フィジー</t>
  </si>
  <si>
    <t>技能実習</t>
  </si>
  <si>
    <t>スリランカ</t>
  </si>
  <si>
    <t>&lt;200</t>
  </si>
  <si>
    <t>東ティモール</t>
  </si>
  <si>
    <t>&lt;100</t>
  </si>
  <si>
    <t>ブータン</t>
  </si>
  <si>
    <t>モンゴル</t>
  </si>
  <si>
    <t>「&lt;100」は100人未満、「—」はUNAIDSに数字がないことを表します。増減（2010年比・%）と割合（%）はUNAIDSの資料に書かれた値です。</t>
  </si>
  <si>
    <t>日本の協力覚書（特定技能・技能実習）</t>
  </si>
  <si>
    <t>1. 日本は、外国人材の受け入れについて、送り出す国と「協力覚書」（MOC）を作っています。「特定技能」では17か国です（公表順に、フィリピン、カンボジア、ネパール、ミャンマー、モンゴル、スリランカ、インドネシア、ベトナム、バングラデシュ、ウズベキスタン、パキスタン、タイ、インド、マレーシア、ラオス、キルギス、タジキスタン）。（出典 世界-3）</t>
  </si>
  <si>
    <t>2. 特定技能でいちばん新しいのはタジキスタンで、2024年8月8日に協力覚書に署名しました。（出典 世界-4）</t>
  </si>
  <si>
    <t>3. 「技能実習」でも17か国と協力覚書があります。新しい順に、フィジー（2025年11月13日）、東ティモール（2024年10月8日）、ネパール、インドネシア、タイ、パキスタン、ウズベキスタン、ブータン、ミャンマー、スリランカ、バングラデシュ、モンゴル、ラオス、フィリピン、インド、カンボジア、ベトナム（2017年6月6日）です。（出典 世界-5）</t>
  </si>
  <si>
    <t>4. 両方の制度で覚書がある国は14か国。技能実習だけの国はブータン・東ティモール・フィジー、特定技能だけの国はマレーシア・キルギス・タジキスタンです。このページでは、合わせて20か国を載せています。</t>
  </si>
  <si>
    <t>移住者とHIV（国連の機関の見方）</t>
  </si>
  <si>
    <t>1. 国際移住機関（IOM）は、移住すること自体でHIVにかかりやすくなるわけではないとしつつ、多くの場合、移住者は社会・文化・経済・環境の面で弱い立場に置かれ、HIVにかかりやすくなると説明しています。（出典 世界-10）</t>
  </si>
  <si>
    <t>2. IOMは、医療や福祉を受けにくいこと、移住者とHIVへの偏見や差別、強制的な検査やHIVとともに生きる人の移動を制限する法律が、移住者のHIVへの弱さを増やし続けていると指摘しています。（出典 世界-10）</t>
  </si>
  <si>
    <t>3. IOMは、HIVの検査は本人の意思で受けるもので、秘密が守られ、相談の支えがあるべきだとしています。また、陽性とわかった人は、国籍や在留資格にかかわらず質の高い医療を受けられるべきだとしています（2018年の世界エイズデーの発表）。（出典 世界-11）</t>
  </si>
  <si>
    <t>4. 同じ発表でIOMは各国に、HIVを理由とした入国制限の見直しと、誰もが必要な医療を受けられる仕組み（ユニバーサル・ヘルス・カバレッジ）を進めることを求めています。（出典 世界-11）</t>
  </si>
  <si>
    <t>5. UNAIDSによると、HIVとともに生きる人の入国や滞在に何らかの制限を続けている国・地域は46でした（2021年10月の発表。UNAIDSの公式ページで確認できたいちばん新しい数です）。（出典 世界-12）</t>
  </si>
  <si>
    <t>日本の入国前の健康診断とIOM</t>
  </si>
  <si>
    <t>1. 日本は、結核の患者が多い国から中長期で住む予定の人に、入国前に結核を発病していないことを求める「入国前結核スクリーニング（JPETS）」を始めています。指定された現地の医療機関で、医師の診察と胸のレントゲン検査を受けます。（出典 世界-6）</t>
  </si>
  <si>
    <t>2. 証明書の提出が必要になったのは、フィリピンとネパールが2025年6月23日から、ベトナムが2025年9月1日からです。インドネシアは2026年11月2日に受付が始まり、2027年1月4日から提出が必要になる予定です。ミャンマーと中国は、開始に向けて調整中です（2026年9月25日更新）。（出典 世界-6）</t>
  </si>
  <si>
    <t>3. 特定技能の外国人、EPA（経済連携協定）の看護師・介護福祉士、JETプログラムの参加者などは、当面のあいだ対象外とされています。（出典 世界-6）</t>
  </si>
  <si>
    <t>4. 国連IOMは日本政府と連携し、この制度の導入と運用を技術面で支えています（情報管理システムの開発・運用、現地の医療機関への研修、胸部レントゲン検査の精度管理）。（出典 世界-8）</t>
  </si>
  <si>
    <t>5. 指定された現地の医療機関には、IOMの健診センター（フィリピンのマニラ、ネパールのカトマンズとダマク、ベトナムのハノイとホーチミン）も入っています。（出典 世界-7）</t>
  </si>
  <si>
    <t>6. 2024年2月、IOMと出入国在留管理庁が協力覚書を結び、協力する分野の一つに「日本への入国前結核スクリーニングの支援」が入りました。（出典 世界-9）</t>
  </si>
  <si>
    <t>7. この制度で調べるのは結核です。厚生労働省のページに、HIVの検査は書かれていません。（出典 世界-6）</t>
  </si>
  <si>
    <t>この数字を見るときの注意</t>
  </si>
  <si>
    <t>・UNAIDSの数字は計算で出した推計で、幅があります（例：世界で感染している人は3,530万〜4,750万人）。ページでは真ん中の値を載せています。</t>
  </si>
  <si>
    <t>・日本の数字（このページの「HIV/エイズ」の届出数）は「その年に新しく報告された数」で、UNAIDSの「1年間に新たに感染した人（推計）」とは数え方が違うため、そのまま比べられません。</t>
  </si>
  <si>
    <t>・UNAIDSのデータ（AIDSinfo）では、日本の推計値は空欄で、公表されていません。</t>
  </si>
  <si>
    <t>・「&lt;100」「&lt;500」などは、人数が少ないため「100人未満」のように幅で示された値です。感染している人が少ない国（モンゴル・ブータンなど）は、わずかな人数の変化でも2010年比の％が大きく動きます。</t>
  </si>
  <si>
    <t>・ここに載せた数字は国全体の推計です。日本に来て働く人や暮らす人のHIVの状況を表すものではありません。</t>
  </si>
  <si>
    <t>・ウズベキスタンは、新たな感染とエイズによる死亡の推計がUNAIDSに載っていません。パキスタン・フィジー・モンゴル・キルギスは「ウイルスが抑えられている人」の割合が載っていません。</t>
  </si>
  <si>
    <t>数え方：医師が保健所に届け出た梅毒の患者数（症状のない感染者＝無症候、母子感染の先天梅毒を含む）。感染症法の5類感染症・全数把握（診断した医師は7日以内に届け出る義務あり）。年は診断された年で集計。</t>
  </si>
  <si>
    <t>梅毒-1</t>
  </si>
  <si>
    <t>梅毒-8</t>
  </si>
  <si>
    <t>2026年1月〜10月11日（第41週まで）</t>
  </si>
  <si>
    <t>梅毒-5</t>
  </si>
  <si>
    <t>期間のくわしい説明：2026年第41週（〜2026-10-11）まで（2026-10-14集計）</t>
  </si>
  <si>
    <t>男女別（2024年）</t>
  </si>
  <si>
    <t>梅毒-3</t>
  </si>
  <si>
    <t>年代別（2024年）</t>
  </si>
  <si>
    <t>0歳</t>
  </si>
  <si>
    <t>1-4歳</t>
  </si>
  <si>
    <t>5-9歳</t>
  </si>
  <si>
    <t>60-64歳</t>
  </si>
  <si>
    <t>65-69歳</t>
  </si>
  <si>
    <t>70歳以上</t>
  </si>
  <si>
    <t>都道府県別 上位5（2024年、人数の多い順）</t>
  </si>
  <si>
    <t>人数</t>
  </si>
  <si>
    <t>人口10万対</t>
  </si>
  <si>
    <t>資料になし</t>
  </si>
  <si>
    <t>病型別（2024年・確定）</t>
  </si>
  <si>
    <t>早期顕症梅毒Ⅰ期</t>
  </si>
  <si>
    <t>梅毒-2</t>
  </si>
  <si>
    <t>早期顕症梅毒Ⅱ期</t>
  </si>
  <si>
    <t>晩期顕症梅毒</t>
  </si>
  <si>
    <t>無症候（症状のない感染）</t>
  </si>
  <si>
    <t>先天梅毒</t>
  </si>
  <si>
    <t>先天梅毒の届出数（年別・確定）</t>
  </si>
  <si>
    <t>2015年</t>
  </si>
  <si>
    <t>梅毒-4</t>
  </si>
  <si>
    <t>2016年</t>
  </si>
  <si>
    <t>2017年</t>
  </si>
  <si>
    <t>2018年</t>
  </si>
  <si>
    <t>感染原因・感染経路別（2024年・確定、1人で複数該当あり）</t>
  </si>
  <si>
    <t>性的接触（異性間）</t>
  </si>
  <si>
    <t>性的接触（異性間・同性間）</t>
  </si>
  <si>
    <t>性的接触（同性間）</t>
  </si>
  <si>
    <t>性的接触（相手の性別不明）</t>
  </si>
  <si>
    <t>その他・不明</t>
  </si>
  <si>
    <t>四半期ごとの届出数（速報・2026年9月30日現在）</t>
  </si>
  <si>
    <t>2025年第3四半期（第27〜39週）</t>
  </si>
  <si>
    <t>梅毒-9</t>
  </si>
  <si>
    <t>2025年第4四半期（第40〜52週）</t>
  </si>
  <si>
    <t>2026年第1四半期（第1〜13週）</t>
  </si>
  <si>
    <t>2026年第2四半期（第14〜26週）</t>
  </si>
  <si>
    <t>2026年第3四半期（第27〜39週）</t>
  </si>
  <si>
    <t>1. 2024年の届出は14,829例。過去最多だった2023年（15,055例）からわずかに減ったものの、14,000例を超える高い水準が続いている。（出典 梅毒-2）</t>
  </si>
  <si>
    <t>2. 男性は20代から50代までの幅広い年代で多く、女性は20代前半（20〜24歳）が特に多い。（出典 梅毒-2）</t>
  </si>
  <si>
    <t>3. 感染経路は男女とも異性間の性的接触が中心。2024年は男性の67%、女性の81%が異性間の性的接触によるものと報告された。症状のない「無症候」の報告も男女とも増えている。（出典 梅毒-2）</t>
  </si>
  <si>
    <t>4. 妊娠中の母親から赤ちゃんにうつる先天梅毒が増えており、2023年は過去最多の37例、2024年は30例と、2023年以降30例を超えている。（出典 梅毒-2）</t>
  </si>
  <si>
    <t>5. 2026年は前年より少ないペース。2026年第3四半期（第27〜39週）の届出は2,716例で、前年同じ時期（3,596例）の約0.8倍だった。（出典 梅毒-9）</t>
  </si>
  <si>
    <t>1. 国の「性感染症に関する特定感染症予防指針」を2025年11月10日に改正。梅毒の流行を収めることを目標に、妊娠する可能性のある年代の女性や妊婦、性風俗産業で働く人とその利用者、男性同士で性交渉をする人など、特に配慮が必要な人たちに合わせた実態把握・啓発・対策を進める。（出典 梅毒-10）</t>
  </si>
  <si>
    <t>2. 保健所の検査体制を強化（検査の外部委託の活用を促す、検査で陽性になった人を確実に医療機関につなぐ）。あわせて梅毒の専門的な手引きの作成や医療従事者への研修強化も進める。（出典 梅毒-10）</t>
  </si>
  <si>
    <t>3. 地域によっては保健所などで匿名・無料で梅毒の検査を受けられる。（出典 梅毒-11）</t>
  </si>
  <si>
    <t>4. 厚生労働省がポスター・チラシや政府広報の動画を作り、コンドームの使用による予防や、早めの検査・受診による早期発見・早期治療を呼びかけている。（出典 梅毒-8）</t>
  </si>
  <si>
    <t>・2025年の確定値は、国の予定では2027年2月ごろに公表されます。このため2025年は速報値です。</t>
  </si>
  <si>
    <t>・2025年（速報）の男女別は、厚生労働省のページのグラフに書かれた数字を読み取ったものです。</t>
  </si>
  <si>
    <t>・性別がわからない人が1〜2人いる年があるため、男女を足しても合計と合わない年があります（2022年・2024年・2025年）。</t>
  </si>
  <si>
    <t>・都道府県の人口10万人あたりの数は、資料に書かれている東京都と大阪府だけ載せています。</t>
  </si>
  <si>
    <t>数え方：医師が麻しんと診断したときに保健所へ届け出た患者の数（感染症法の5類感染症・全数把握。麻しんは2008年1月から全数把握）。年は診断週にもとづく区切り。確定値は感染症発生動向調査の年報集計値、速報は週報の速報値（暫定値）で、あとから修正されることがある。</t>
  </si>
  <si>
    <t>前年比（届出数）</t>
  </si>
  <si>
    <t>はしか-1</t>
  </si>
  <si>
    <t>はしか-7</t>
  </si>
  <si>
    <t>期間のくわしい説明：2026年第41週まで（診断日 2025-12-29〜2026-10-11、2026年10月14日現在）</t>
  </si>
  <si>
    <t>注：2025年第1〜41週（診断日 2024-12-30〜2025-10-12、2025年10月15日現在の速報値。出典はしか-8）</t>
  </si>
  <si>
    <t>はしか-2</t>
  </si>
  <si>
    <t>埼玉県</t>
  </si>
  <si>
    <t>京都府</t>
  </si>
  <si>
    <t>兵庫県</t>
  </si>
  <si>
    <t>ワクチン接種歴別（2024年）</t>
  </si>
  <si>
    <t>接種歴なし</t>
  </si>
  <si>
    <t>はしか-4</t>
  </si>
  <si>
    <t>1回接種</t>
  </si>
  <si>
    <t>2回接種</t>
  </si>
  <si>
    <t>接種歴不明</t>
  </si>
  <si>
    <t>注：年報の集計表には接種歴の区分が無いため、IASR（2025年5月8日現在の届出数）の表1による。合計45で確定値と一致。うち1歳未満（定期接種の対象年齢前）の患者は6例。</t>
  </si>
  <si>
    <t>推定感染地域別（2024年・確定）</t>
  </si>
  <si>
    <t>国内</t>
  </si>
  <si>
    <t>はしか-3</t>
  </si>
  <si>
    <t>国外</t>
  </si>
  <si>
    <t>注：年報の区分（日本国内・国外・不明）。週報速報グラフでは「国内14・国外22・国内または国外3・国内国外不明6」の4区分で示されている。</t>
  </si>
  <si>
    <t>国外で感染したと推定される国（2024年・速報）</t>
  </si>
  <si>
    <t>はしか-5</t>
  </si>
  <si>
    <t>アラブ首長国連邦</t>
  </si>
  <si>
    <t>イギリス</t>
  </si>
  <si>
    <t>イタリア</t>
  </si>
  <si>
    <t>トルコ</t>
  </si>
  <si>
    <t>国名不明</t>
  </si>
  <si>
    <t>注：推定感染地域「国外」22例の内訳（2025年1月7日現在の速報グラフ）。このほか「国内または国外」3例（アラブ首長国連邦/国内1、イギリス/国内2）。</t>
  </si>
  <si>
    <t>麻しん風しん（MR）定期予防接種の接種率</t>
  </si>
  <si>
    <t>第1期（1歳）</t>
  </si>
  <si>
    <t>第2期（小学校入学前1年間）</t>
  </si>
  <si>
    <t>2025年度（令和7年度）</t>
  </si>
  <si>
    <t>はしか-9</t>
  </si>
  <si>
    <t>2024年度（令和6年度）</t>
  </si>
  <si>
    <t>注：国の目標はそれぞれ95%以上（麻しんに関する特定感染症予防指針）。2025年度は最終評価（2026年10月16日更新、出典はしか-9）、2024年度は最終評価（2025年9月29日更新、出典はしか-10）。2025年度の対象者数は第1期721,518人・第2期881,917人。</t>
  </si>
  <si>
    <t>【参考・速報】2025年のワクチン接種歴別</t>
  </si>
  <si>
    <t>接種なし</t>
  </si>
  <si>
    <t>はしか-6</t>
  </si>
  <si>
    <t>注：2025年第1〜52週（n=265、2026年1月6日現在の速報値）。</t>
  </si>
  <si>
    <t>【参考・速報】2025年の推定感染地域別</t>
  </si>
  <si>
    <t>国内または国外</t>
  </si>
  <si>
    <t>国内・国外不明</t>
  </si>
  <si>
    <t>注：2025年第1〜52週（n=265、2026年1月6日現在の速報値）。国外の推定感染国はベトナムが60例と突出して多い。</t>
  </si>
  <si>
    <t>【参考・速報】2026年第1〜41週の都道府県別上位5</t>
  </si>
  <si>
    <t>千葉県</t>
  </si>
  <si>
    <t>鹿児島県</t>
  </si>
  <si>
    <t>注：2026年10月14日現在の速報値（n=579）。千葉県と鹿児島県は同数で4位。</t>
  </si>
  <si>
    <t>【参考・速報】2026年第1〜41週の推定感染地域別</t>
  </si>
  <si>
    <t>注：2026年10月14日現在の速報値（n=579）。国外の推定感染国はインドネシア16、ニュージーランド7、ベトナム5、インド4、バングラデシュ3の順。</t>
  </si>
  <si>
    <t>【参考・速報】2026年第1〜41週のワクチン接種歴別</t>
  </si>
  <si>
    <t>注：2026年10月14日現在の速報値（n=579）。2回接種の人の届出もあるが、若い世代は2回接種済みの人がもともと多いため、件数だけでワクチンの効果は比べられない（IDWR 2026年第20号の解説）。</t>
  </si>
  <si>
    <t>1. 日本は2015年にWHO（世界保健機関）の西太平洋地域の認定委員会から「麻しん排除状態」と認定され、その後も2024年まで排除状態の維持が確認されている。（出典 はしか-13）</t>
  </si>
  <si>
    <t>2. 新型コロナの流行期（2020〜2022年）は人の行き来の制限などで年6〜10例まで減ったが、対策が緩和された2023年以降は増加傾向で、2023年28例、2024年45例、2025年265例（暫定値）となった。（出典 はしか-11）</t>
  </si>
  <si>
    <t>3. 2026年は第1〜41週（10月14日現在）だけで579例となり、2025年1年間の265例（暫定値）をすでに大きく上回っている。前年同時期（2025年第1〜41週）は231例だった。（出典 はしか-7）</t>
  </si>
  <si>
    <t>4. 2023年以降は海外からの持ち込み（輸入例）をきっかけにした国内での二次感染が中心。推定感染地は2024・2025年はベトナム・タイが中心だったのに対し、2026年はインドネシアが多く、2026年は輸入例に加えて国内での感染例が増えている。（出典 はしか-11）</t>
  </si>
  <si>
    <t>5. 患者は10〜30代の若い世代が中心で、ワクチン2回接種を終えていない人や接種歴が不明な人が多い（2026年第1〜11週では10〜20代が57%を占め、その約5割が2回接種未完了または接種歴不明）。（出典 はしか-11）</t>
  </si>
  <si>
    <t>1. 麻しん風しん混合（MR）ワクチンの定期予防接種を2回実施：第1期（1歳）と第2期（小学校入学前の1年間）。2006年4月から1回接種を2回接種に変更した。（出典 はしか-12）</t>
  </si>
  <si>
    <t>2. 「麻しんに関する特定感染症予防指針」（2007年告示、2019年一部改正）で、排除状態の維持を目標に掲げ、第1期・第2期それぞれの接種率95%以上を目標とし、原則として全患者のウイルス遺伝子検査を求めている。（出典 はしか-15）</t>
  </si>
  <si>
    <t>3. すべての医師に、麻しんを診断したら最寄りの保健所へ届け出ること（5類感染症・全数把握）と、原則として全例でウイルス遺伝子検査を行うことを求めている。（出典 はしか-14）</t>
  </si>
  <si>
    <t>4. 2026年の増加を受け、自治体・医師会への注意喚起（2月13日）、定期接種対象者への積極的な接種勧奨と、患者との接触後72時間以内の緊急接種などの任意接種を含むMRワクチン接種の推進（3月31日）、海外渡航者への注意喚起（多言語ポスター等）を実施。（出典 はしか-12）</t>
  </si>
  <si>
    <t>・2025年の確定値は、2026年10月26日時点でまだ公表されていません。2025年は速報値です。</t>
  </si>
  <si>
    <t>・2024年のワクチン接種歴別は、確定値の集計表に区分がないため、国の専門誌（IASR、2025年5月8日時点）の数字を使いました。</t>
  </si>
  <si>
    <t>・都道府県の人口あたりの数は、確定値の集計表にないため載せていません。</t>
  </si>
  <si>
    <t>・2回接種した人の届出もありますが、若い世代はもともと2回接種した人が多いため、人数だけでワクチンの効果は比べられません。</t>
  </si>
  <si>
    <t>数え方：その年（1月1日〜12月31日）に全国の保健所で新たに登録された結核患者の数（新登録結核患者数）と、人口10万人あたりの人数（罹患率）。発病していない感染者（潜在性結核感染症＝LTBI）は含まない。出典は厚生労働省「結核登録者情報調査年報集計結果」（保健所が感染症サーベイランスシステム上の結核登録者情報システムに入力したデータの年間集計）。結核は感染症法の2類感染症。</t>
  </si>
  <si>
    <t>新登録患者数</t>
  </si>
  <si>
    <t>罹患率（人口10万対）</t>
  </si>
  <si>
    <t>前年比（新登録患者数）</t>
  </si>
  <si>
    <t>結核-1</t>
  </si>
  <si>
    <t>届出数（発病していない感染者も含む）</t>
  </si>
  <si>
    <t>結核-4</t>
  </si>
  <si>
    <t>期間のくわしい説明：2026年第41週（10月5日〜10月11日）までの累積（2026年10月14日集計）</t>
  </si>
  <si>
    <t>注：感染症法にもとづく医師の届出の数（週報の速報値）で、年報の「新登録結核患者数」とは数え方が違うため直接比べられない。届出の対象には患者のほか、発病していない感染者で治療が必要な人（潜在性結核感染症）や疑似症患者も含まれる（結核-13）。参考までに2024年の届出数は16,240件（結核-12）で、同年の年報の新登録患者10,051人＋潜在性結核感染症の新登録5,967人に近い。速報値は後日修正されることがある。</t>
  </si>
  <si>
    <t>構成比(%)</t>
  </si>
  <si>
    <t>総数</t>
  </si>
  <si>
    <t>0〜4歳</t>
  </si>
  <si>
    <t>5〜9歳</t>
  </si>
  <si>
    <t>10〜14歳</t>
  </si>
  <si>
    <t>15〜19歳</t>
  </si>
  <si>
    <t>20〜29歳</t>
  </si>
  <si>
    <t>30〜39歳</t>
  </si>
  <si>
    <t>40〜49歳</t>
  </si>
  <si>
    <t>50〜59歳</t>
  </si>
  <si>
    <t>60〜69歳</t>
  </si>
  <si>
    <t>70〜79歳</t>
  </si>
  <si>
    <t>80〜89歳</t>
  </si>
  <si>
    <t>90歳以上</t>
  </si>
  <si>
    <t>都道府県別 上位5（2025年、罹患率の多い順）</t>
  </si>
  <si>
    <t>徳島県</t>
  </si>
  <si>
    <t>岐阜県</t>
  </si>
  <si>
    <t>外国生まれの新登録患者（2025年）</t>
  </si>
  <si>
    <t>割合(%)</t>
  </si>
  <si>
    <t>外国生まれ（割合は新登録患者全体に占める割合）</t>
  </si>
  <si>
    <t>うち入国5年以内（割合は外国生まれ患者に占める割合）</t>
  </si>
  <si>
    <t>日本生まれ（割合は資料に記載なし）</t>
  </si>
  <si>
    <t>外国生まれの新登録患者の推移（2021〜2025年）</t>
  </si>
  <si>
    <t>新登録患者に占める割合(%)</t>
  </si>
  <si>
    <t>外国生まれの新登録患者の年代別（2025年）</t>
  </si>
  <si>
    <t>その年代の患者に占める外国生まれの割合(%)</t>
  </si>
  <si>
    <t>80歳以上</t>
  </si>
  <si>
    <t>高齢の新登録患者の割合（2025年）</t>
  </si>
  <si>
    <t>80歳以上（表5-1の80〜89歳と90歳以上を足した計算値）</t>
  </si>
  <si>
    <t>70歳以上（表5-1の70〜79歳・80〜89歳・90歳以上を足した計算値）</t>
  </si>
  <si>
    <t>罹患率の低い5県（2025年）</t>
  </si>
  <si>
    <t>山梨県</t>
  </si>
  <si>
    <t>岩手県</t>
  </si>
  <si>
    <t>新潟県</t>
  </si>
  <si>
    <t>秋田県</t>
  </si>
  <si>
    <t>宮城県</t>
  </si>
  <si>
    <t>結核による死亡数・死亡率の推移（2016〜2025年、人口動態統計より。2025年は概数）</t>
  </si>
  <si>
    <t>死亡数</t>
  </si>
  <si>
    <t>死亡率（人口10万対）</t>
  </si>
  <si>
    <t>結核による死亡数・男女別（2025年、人口動態統計 確定数）</t>
  </si>
  <si>
    <t>結核-3</t>
  </si>
  <si>
    <t>1. 2025年の罹患率（人口10万人あたり）は8.0で前年より0.1下がった。2021年（9.2）に「低まん延」の目安である10.0以下になり、それ以降この水準を続けている。新登録患者数は9,899人で、前年より152人（1.5%）減った。（出典 結核-1）</t>
  </si>
  <si>
    <t>2. 患者の多くは高齢者。80〜89歳が全体の27.3%で最も多く、90歳以上（13.5%）と合わせると80歳以上が約4割を占める。年代別の罹患率も80〜89歳で27.1、90歳以上で47.1と高い。（出典 結核-1）</t>
  </si>
  <si>
    <t>3. 外国生まれの患者が増えている。2025年は2,352人で前年より372人（18.8%）増え、新登録患者に占める割合は23.8%（前年19.7%）。外国生まれの患者のうち62.5%は入国から5年以内だった。（出典 結核-1）</t>
  </si>
  <si>
    <t>4. 20〜29歳の患者は1,627人で前年より337人（26.1%）増え、この年代の罹患率は12.8になった。20〜29歳の患者の91.1%が外国生まれで、日本生まれに限った20〜29歳の罹患率は1.2。（出典 結核-1）</t>
  </si>
  <si>
    <t>5. 地域差がある。罹患率が最も高いのは大阪府（13.4）で、最も低い山梨県（4.5）の3.0倍。罹患率10.0以下の都道府県は47のうち42。（出典 結核-1）</t>
  </si>
  <si>
    <t>1. 「結核に関する特定感染症予防指針」（平成19年告示、最終改正平成28年）にもとづく総合対策。指針の目標「罹患率10以下」は2021年に達成した。2026年10月15日の厚生科学審議会結核部会では、2030年に「罹患率8以下を維持」を新しい目標とする改正案が示され、令和8年度中の改正告示を目指している（まだ案の段階）。（出典 結核-8）</t>
  </si>
  <si>
    <t>2. BCGワクチンの定期接種。1歳になるまでに1回（標準的には生後5〜8か月）。子どもの重い結核（結核性髄膜炎や全身に広がる結核）を64〜78%程度防ぐと報告されている。（出典 結核-10）</t>
  </si>
  <si>
    <t>3. 入国前結核スクリーニング（JPETS）。患者が多い国（フィリピン、ベトナム、インドネシア、ネパール、ミャンマー、中国）の国籍で日本に中長期滞在する人に、入国前に指定医療機関で胸部レントゲン検査などを受け「結核非発病証明書」を出すことを求める。フィリピン・ネパールは2025年6月23日、ベトナムは2025年9月1日から提出が義務になり、インドネシアは2027年1月4日から予定、ミャンマー・中国は調整中。（出典 結核-11）</t>
  </si>
  <si>
    <t>4. 日本版DOTS戦略（保健所などが患者の服薬を確認して治療をやり遂げられるよう支える仕組み）。指針の目標95%以上に対し、2023年の実施率は97.2%。（出典 結核-8）</t>
  </si>
  <si>
    <t>・男女別の新登録患者数は、厚生労働省の年報に表がないため載せていません。</t>
  </si>
  <si>
    <t>・「2026年の途中経過」は医師の届出の数（速報）で、発病していないが治療が必要な感染者（潜在性結核感染症）なども含みます。年報の「新登録患者数」とは数え方が違うため、直接は比べられません。</t>
  </si>
  <si>
    <t>・80歳以上・70歳以上の割合は、年代別の数字を足して計算したものです。</t>
  </si>
  <si>
    <t>・年報のPDFには公表日の記載がないため、出典にはファイルの更新日（2026年10月2日）を書いています。</t>
  </si>
  <si>
    <t>・結核による死亡数は、2017年から死因の分け方が変わっていて、その影響を含みます。</t>
  </si>
  <si>
    <t>数字を見るときの注意</t>
  </si>
  <si>
    <t>全体にかかわること</t>
  </si>
  <si>
    <t>ここにある数は、医師が保健所に届け出た数です（結核は、保健所に新しく登録された患者の数）。検査を受けていない人や、感染に気づいていない人は含まれないため、実際に感染している人の数とは同じではありません。</t>
  </si>
  <si>
    <t>「確定値」は、国が1年分の届出を集計し直した数です。「速報値」は、毎週や3か月ごとに出る途中の数で、あとから届出が追加されて変わることがあります。たとえば梅毒の2024年は、速報値14,663例が確定値では14,829例になりました。</t>
  </si>
  <si>
    <t>最新の確定値が出ている年は病気ごとに違います。HIV/エイズと結核は2025年、梅毒とはしかは2024年までです（2025年は速報値）。</t>
  </si>
  <si>
    <t>「2026年の途中経過」は、病気によって期間が違います。HIV/エイズは1〜6月ごろ（第1・第2四半期）、梅毒・はしか・結核は10月11日（第41週）までで、それぞれ前の年の同じ時期と比べています。</t>
  </si>
  <si>
    <t>出典は国の公式資料（厚生労働省、国立健康危機管理研究機構）だけを使いました。ただしHIV/エイズの年報は、厚生労働省のページから案内されている「エイズ予防情報ネット」（国の委託先）に置かれているものを使っています。HIV/エイズの「世界の動向」だけは、国連の機関（UNAIDS・IOM）の公式資料を使っています。「公費で受けられる支え」のうち結核の医療費助成の一部は、東京都の公式ページで確かめました。</t>
  </si>
  <si>
    <t>前年比や「10年前と比べて何倍か」などは、資料の数字からこのまとめで計算したものです。</t>
  </si>
  <si>
    <t>年は「報告された年」で、診断された年ではありません。</t>
  </si>
  <si>
    <t>2016〜2022年の合計は、HIV感染者とエイズ患者の数を足したものです（2023年以降は資料に合計が書かれています）。</t>
  </si>
  <si>
    <t>2024年は、速報値（合計1,000件）が確定値では994件に直されました。</t>
  </si>
  <si>
    <t>感染経路の「その他」は、2019年に届出用紙が変わって中身が変わったため、それより前の年とは比べにくくなっています。</t>
  </si>
  <si>
    <t>2025年の検査件数は、郵送検査を含まない106,756件を使いました。2025年9月から郵送検査も数えるようになったため、過去の年と比べるときは郵送を除く必要があります。</t>
  </si>
  <si>
    <t>厚生労働省の「HIVとエイズ」のページは、2026年10月26日時点でまだ2024年の数字のままでした。</t>
  </si>
  <si>
    <t>HIV/エイズ（世界）</t>
  </si>
  <si>
    <t>UNAIDSの数字は計算で出した推計で、幅があります（例：世界で感染している人は3,530万〜4,750万人）。ページでは真ん中の値を載せています。</t>
  </si>
  <si>
    <t>日本の数字（このページの「HIV/エイズ」の届出数）は「その年に新しく報告された数」で、UNAIDSの「1年間に新たに感染した人（推計）」とは数え方が違うため、そのまま比べられません。</t>
  </si>
  <si>
    <t>UNAIDSのデータ（AIDSinfo）では、日本の推計値は空欄で、公表されていません。</t>
  </si>
  <si>
    <t>「&lt;100」「&lt;500」などは、人数が少ないため「100人未満」のように幅で示された値です。感染している人が少ない国（モンゴル・ブータンなど）は、わずかな人数の変化でも2010年比の％が大きく動きます。</t>
  </si>
  <si>
    <t>ここに載せた数字は国全体の推計です。日本に来て働く人や暮らす人のHIVの状況を表すものではありません。</t>
  </si>
  <si>
    <t>ウズベキスタンは、新たな感染とエイズによる死亡の推計がUNAIDSに載っていません。パキスタン・フィジー・モンゴル・キルギスは「ウイルスが抑えられている人」の割合が載っていません。</t>
  </si>
  <si>
    <t>2025年の確定値は、国の予定では2027年2月ごろに公表されます。このため2025年は速報値です。</t>
  </si>
  <si>
    <t>2025年（速報）の男女別は、厚生労働省のページのグラフに書かれた数字を読み取ったものです。</t>
  </si>
  <si>
    <t>性別がわからない人が1〜2人いる年があるため、男女を足しても合計と合わない年があります（2022年・2024年・2025年）。</t>
  </si>
  <si>
    <t>都道府県の人口10万人あたりの数は、資料に書かれている東京都と大阪府だけ載せています。</t>
  </si>
  <si>
    <t>はしか</t>
  </si>
  <si>
    <t>2025年の確定値は、2026年10月26日時点でまだ公表されていません。2025年は速報値です。</t>
  </si>
  <si>
    <t>2024年のワクチン接種歴別は、確定値の集計表に区分がないため、国の専門誌（IASR、2025年5月8日時点）の数字を使いました。</t>
  </si>
  <si>
    <t>都道府県の人口あたりの数は、確定値の集計表にないため載せていません。</t>
  </si>
  <si>
    <t>2回接種した人の届出もありますが、若い世代はもともと2回接種した人が多いため、人数だけでワクチンの効果は比べられません。</t>
  </si>
  <si>
    <t>男女別の新登録患者数は、厚生労働省の年報に表がないため載せていません。</t>
  </si>
  <si>
    <t>「2026年の途中経過」は医師の届出の数（速報）で、発病していないが治療が必要な感染者（潜在性結核感染症）なども含みます。年報の「新登録患者数」とは数え方が違うため、直接は比べられません。</t>
  </si>
  <si>
    <t>80歳以上・70歳以上の割合は、年代別の数字を足して計算したものです。</t>
  </si>
  <si>
    <t>年報のPDFには公表日の記載がないため、出典にはファイルの更新日（2026年10月2日）を書いています。</t>
  </si>
  <si>
    <t>結核による死亡数は、2017年から死因の分け方が変わっていて、その影響を含みます。</t>
  </si>
  <si>
    <t>ここにある制度は2026年10月26日時点のものです。申請のしかたや細かい条件は、住んでいる地域の保健所や市区町村の窓口で確かめてください。</t>
  </si>
  <si>
    <t>市区町村などによっては、国の制度に上乗せした独自の助成がある場合があります。ここでは、国の制度と、結核の医療費について東京都のページで確かめた内容だけを載せています。</t>
  </si>
  <si>
    <t>一覧の「公費なし」は、その場面で使える国の公費の制度が、国の法律や資料に見当たらないという意味です。生活保護や、市区町村の子どもの医療費助成など、病気を問わない制度は含めていません。</t>
  </si>
  <si>
    <t>健康保険の「高額療養費制度」（1か月の医療費の自己負担が高くなりすぎないようにする仕組み）は、公費ではないため扱っていません。</t>
  </si>
  <si>
    <t>結核の「医療費1万円なら500円」は、このまとめで計算した例です。</t>
  </si>
  <si>
    <t>出典一覧（国・東京都・国連機関の公式資料のみ）</t>
  </si>
  <si>
    <t>各シートの「出典ID」はこの表の番号です。URLはクリックで開けます。確認日は2026年10月26日。</t>
  </si>
  <si>
    <t>資料名</t>
  </si>
  <si>
    <t>発行元</t>
  </si>
  <si>
    <t>URL</t>
  </si>
  <si>
    <t>公表日・更新日</t>
  </si>
  <si>
    <t>確認日</t>
  </si>
  <si>
    <t>HIV-1</t>
  </si>
  <si>
    <t>第167回エイズ動向委員会 委員長コメント《令和7年 HIV感染者・エイズ患者の年間新規報告数（確定値）》</t>
  </si>
  <si>
    <t>厚生労働省エイズ動向委員会（エイズ予防情報ネット掲載）</t>
  </si>
  <si>
    <t>https://api-net.jfap.or.jp/status/japan/data/2026/2609/20260916_coment_kak.pdf</t>
  </si>
  <si>
    <t>2026-09-16</t>
  </si>
  <si>
    <t>2026-10-26</t>
  </si>
  <si>
    <t>令和7（2025）年エイズ発生動向 －概要－</t>
  </si>
  <si>
    <t>https://api-net.jfap.or.jp/status/japan/data/2025/nenpo/r07gaiyo.pdf</t>
  </si>
  <si>
    <t>令和7年エイズ発生動向年報 表1 令和7（2025）年に報告されたHIV感染者及びAIDS患者の内訳</t>
  </si>
  <si>
    <t>https://api-net.jfap.or.jp/status/japan/data/2025/nenpo/hyo-01.pdf</t>
  </si>
  <si>
    <t>令和7年エイズ発生動向年報 表3-1 HIV感染者及びAIDS患者の年次推移（国籍別、性別）</t>
  </si>
  <si>
    <t>https://api-net.jfap.or.jp/status/japan/data/2025/nenpo/hyo-03.pdf</t>
  </si>
  <si>
    <t>令和7年エイズ発生動向年報 表6-1 年齢階級別年次推移（HIV感染者、AIDS患者）</t>
  </si>
  <si>
    <t>https://api-net.jfap.or.jp/status/japan/data/2025/nenpo/hyo-061.pdf</t>
  </si>
  <si>
    <t>令和7年エイズ発生動向年報 表10-1 報告地別年次推移及び累計等（HIV感染者・合計）</t>
  </si>
  <si>
    <t>https://api-net.jfap.or.jp/status/japan/data/2025/nenpo/hyo-101.pdf</t>
  </si>
  <si>
    <t>HIV-7</t>
  </si>
  <si>
    <t>令和7年エイズ発生動向年報 表10-4 報告地別年次推移及び累計等（AIDS患者・合計）</t>
  </si>
  <si>
    <t>https://api-net.jfap.or.jp/status/japan/data/2025/nenpo/hyo-104.pdf</t>
  </si>
  <si>
    <t>HIV-8</t>
  </si>
  <si>
    <t>令和7年エイズ発生動向年報（参考）保健所等におけるHIV抗体検査及びHIV郵送検査件数</t>
  </si>
  <si>
    <t>https://api-net.jfap.or.jp/status/japan/data/2025/nenpo/kensa.pdf</t>
  </si>
  <si>
    <t>HIV-9</t>
  </si>
  <si>
    <t>令和7年エイズ発生動向年報（参考）保健所等における相談件数</t>
  </si>
  <si>
    <t>https://api-net.jfap.or.jp/status/japan/data/2025/nenpo/soudan.pdf</t>
  </si>
  <si>
    <t>第167回エイズ動向委員会 委員長コメント《R8年 第1・2四半期》</t>
  </si>
  <si>
    <t>https://api-net.jfap.or.jp/status/japan/data/2026/2609/20260916_coment.pdf</t>
  </si>
  <si>
    <t>HIV-11</t>
  </si>
  <si>
    <t>令和8年第1・第2四半期 エイズ動向委員会報告 資料（Excel：表1-1Q・表1-2Q・表2 累計ほか）</t>
  </si>
  <si>
    <t>https://api-net.jfap.or.jp/status/japan/data/2026/2609/20260916.xlsx</t>
  </si>
  <si>
    <t>HIV-12</t>
  </si>
  <si>
    <t>第166回エイズ動向委員会 委員長コメント《令和7年 HIV感染者・エイズ患者の年間新規報告数（速報値）》</t>
  </si>
  <si>
    <t>https://api-net.jfap.or.jp/status/japan/data/2026/2603/20260326_coment.pdf</t>
  </si>
  <si>
    <t>2026-03-26</t>
  </si>
  <si>
    <t>HIV-13</t>
  </si>
  <si>
    <t>第164回エイズ動向委員会 委員長コメント《令和6年 HIV感染者・エイズ患者の年間新規報告数（速報値）》</t>
  </si>
  <si>
    <t>https://api-net.jfap.or.jp/status/japan/data/2025/2503/20250328_coment.pdf</t>
  </si>
  <si>
    <t>2025-03-28</t>
  </si>
  <si>
    <t>HIVとエイズ</t>
  </si>
  <si>
    <t>厚生労働省</t>
  </si>
  <si>
    <t>https://www.mhlw.go.jp/stf/seisakunitsuite/bunya/kenkou_iryou/kenkou/kekkaku-kansenshou/aids/index.html</t>
  </si>
  <si>
    <t>記載なし</t>
  </si>
  <si>
    <t>HIV-15</t>
  </si>
  <si>
    <t>後天性免疫不全症候群に関する特定感染症予防指針の改正のポイント</t>
  </si>
  <si>
    <t>https://www.mhlw.go.jp/content/001593105.pdf</t>
  </si>
  <si>
    <t>HIV-16</t>
  </si>
  <si>
    <t>後天性免疫不全症候群に関する特定感染症予防指針の全部改正について（感感発1110第3号）</t>
  </si>
  <si>
    <t>厚生労働省健康・生活衛生局感染症対策部感染症対策課</t>
  </si>
  <si>
    <t>https://www.mhlw.go.jp/content/001593106.pdf</t>
  </si>
  <si>
    <t>2025-11-10</t>
  </si>
  <si>
    <t>HIV-17</t>
  </si>
  <si>
    <t>令和5（2023）年エイズ発生動向 －概要－（厚生労働省サイト掲載分）</t>
  </si>
  <si>
    <t>厚生労働省エイズ動向委員会</t>
  </si>
  <si>
    <t>https://www.mhlw.go.jp/content/10906000/001534119.pdf</t>
  </si>
  <si>
    <t>HIV-18</t>
  </si>
  <si>
    <t>令和7（2025）年エイズ発生動向年報 掲載ページ（年報一覧）</t>
  </si>
  <si>
    <t>https://api-net.jfap.or.jp/status/japan/nenpo.html</t>
  </si>
  <si>
    <t>性感染症報告数「年齢(5歳階級)別にみた性感染症報告数の年次推移（梅毒）」Excel（感染症発生動向調査事業年報のデータを元に作成）</t>
  </si>
  <si>
    <t>https://www.mhlw.go.jp/content/10900000/001678695.xlsx</t>
  </si>
  <si>
    <t>2026-03-24（Excelファイルの更新日時。掲載ページ https://www.mhlw.go.jp/topics/2005/04/tp0411-1.html に日付表示なし）</t>
  </si>
  <si>
    <t>感染症法に基づく梅毒の届出状況2024年（2025年11月15日現在）</t>
  </si>
  <si>
    <t>国立健康危機管理研究機構（JIHS）国立感染症研究所</t>
  </si>
  <si>
    <t>https://id-info.jihs.go.jp/surveillance/idss/target-diseases/syphilis/2024/20260428Syphilis.pdf</t>
  </si>
  <si>
    <t>2026-04-28</t>
  </si>
  <si>
    <t>感染症発生動向調査事業年報 2024 第4-1表「報告数，年齢階級・性別・都道府県・全全数把握対象疾患別」（梅毒シート）</t>
  </si>
  <si>
    <t>国立健康危機管理研究機構（JIHS）</t>
  </si>
  <si>
    <t>https://id-info.jihs.go.jp/surveillance/idwr/annual/2024/syulist/Syu_04_1.xlsx</t>
  </si>
  <si>
    <t>2026-03-02</t>
  </si>
  <si>
    <t>感染症発生動向調査年別一覧（全数把握 五類）-2024-（梅毒の病型別・先天梅毒の年別報告数）</t>
  </si>
  <si>
    <t>https://id-info.jihs.go.jp/surveillance/idwr/idwr/2024/year-data/05/index.html</t>
  </si>
  <si>
    <t>感染症発生動向調査週報（IDWR）2026年第41週（第41号）梅毒 累積報告数</t>
  </si>
  <si>
    <t>厚生労働省／国立健康危機管理研究機構（JIHS）国立感染症研究所</t>
  </si>
  <si>
    <t>https://id-info.jihs.go.jp/surveillance/idwr/idwr/2026/idwr2026-41.pdf</t>
  </si>
  <si>
    <t>2026-10-23</t>
  </si>
  <si>
    <t>梅毒-6</t>
  </si>
  <si>
    <t>感染症発生動向調査週報（IDWR）2025年第41週（第41号）梅毒 累積報告数（前年同時期の比較用）</t>
  </si>
  <si>
    <t>https://id-info.jihs.go.jp/surveillance/idwr/idwr/2025/idwr2025-41.pdf</t>
  </si>
  <si>
    <t>2025-10-24</t>
  </si>
  <si>
    <t>梅毒-7</t>
  </si>
  <si>
    <t>感染症発生動向調査週報（IDWR）2025年第52週（第52号）梅毒 累積報告数（2025年の速報値）</t>
  </si>
  <si>
    <t>https://id-info.jihs.go.jp/surveillance/idwr/idwr/2025/idwr2025-52.pdf</t>
  </si>
  <si>
    <t>2026-01-19</t>
  </si>
  <si>
    <t>梅毒（発生状況のグラフ「梅毒報告数の推移（2010〜2025年）」、啓発ツール）</t>
  </si>
  <si>
    <t>https://www.mhlw.go.jp/stf/seisakunitsuite/bunya/kenkou_iryou/kenkou/kekkaku-kansenshou/seikansenshou/syphilis.html</t>
  </si>
  <si>
    <t>ページに日付表示なし（グラフ画像 https://www.mhlw.go.jp/content/10900000/001350776.png の更新日時 2026-03-27）</t>
  </si>
  <si>
    <t>日本の梅毒症例の動向について「感染症発生動向調査で届け出られた梅毒の概要（2026年9月30日現在）」</t>
  </si>
  <si>
    <t>https://id-info.jihs.go.jp/surveillance/idss/target-diseases/syphilis/notification/syphilis2026q3.pdf</t>
  </si>
  <si>
    <t>2026-10-15</t>
  </si>
  <si>
    <t>梅毒-10</t>
  </si>
  <si>
    <t>【概要】性感染症に関する特定感染症予防指針の改正のポイント</t>
  </si>
  <si>
    <t>https://www.mhlw.go.jp/content/10900000/001595214.pdf</t>
  </si>
  <si>
    <t>2025-11-10（指針の改正日）</t>
  </si>
  <si>
    <t>梅毒に関するQ&amp;A（Q4 検査について）</t>
  </si>
  <si>
    <t>https://www.mhlw.go.jp/stf/seisakunitsuite/bunya/kenkou_iryou/syphilis_qa.html</t>
  </si>
  <si>
    <t>2022-11-22（最終更新日）</t>
  </si>
  <si>
    <t>梅毒-12</t>
  </si>
  <si>
    <t>感染症発生動向調査週報（IDWR）2024年第52週（第52号）梅毒 累積報告数（2024年の速報値・確定値との比較用）</t>
  </si>
  <si>
    <t>https://id-info.jihs.go.jp/surveillance/idwr/idwr/2024/idwr2024-52.pdf</t>
  </si>
  <si>
    <t>2025-01-20</t>
  </si>
  <si>
    <t>感染症発生動向調査年別一覧（全数把握 五類）－2024－（2024年は2025年11月15日現在報告数）</t>
  </si>
  <si>
    <t>国立健康危機管理研究機構</t>
  </si>
  <si>
    <t>感染症発生動向調査事業年報 2024年 第4-1表 報告数，年齢階級・性別・都道府県・全全数把握対象疾患別（麻しんシート）</t>
  </si>
  <si>
    <t>国立健康危機管理研究機構／厚生労働省</t>
  </si>
  <si>
    <t>感染症発生動向調査事業年報 2024年 第7-1表 報告数，都道府県・性別・全全数把握対象疾患・感染地域別</t>
  </si>
  <si>
    <t>https://id-info.jihs.go.jp/surveillance/idwr/annual/2024/syulist/Syu_07_1.xlsx</t>
  </si>
  <si>
    <t>病原微生物検出情報（IASR）Vol.46 No.7（No.545）特集「麻疹 2025年5月現在」（表1 麻疹患者の予防接種歴別届出数）</t>
  </si>
  <si>
    <t>https://id-info.jihs.go.jp/surveillance/iasr/pathogens/vol46/545/Vol46-7_no545.pdf</t>
  </si>
  <si>
    <t>2025-07</t>
  </si>
  <si>
    <t>麻しん速報グラフ 2024年第52週（2025年1月7日現在）</t>
  </si>
  <si>
    <t>https://id-info.jihs.go.jp/surveillance/idwr/diseases/measles/graph/2024/meas24-52.pdf</t>
  </si>
  <si>
    <t>2025-01-07（集計日）</t>
  </si>
  <si>
    <t>麻しん速報グラフ 2025年第52週（2026年1月6日現在）</t>
  </si>
  <si>
    <t>https://id-info.jihs.go.jp/surveillance/idwr/diseases/measles/graph/2025/meas25-52.pdf</t>
  </si>
  <si>
    <t>2026-01-06（集計日）</t>
  </si>
  <si>
    <t>麻しん速報グラフ 2026年第41週（2026年10月14日現在）</t>
  </si>
  <si>
    <t>https://id-info.jihs.go.jp/surveillance/idwr/diseases/measles/graph/2026/meas26-41.pdf</t>
  </si>
  <si>
    <t>2026-10-20（掲載日）</t>
  </si>
  <si>
    <t>はしか-8</t>
  </si>
  <si>
    <t>麻しん速報グラフ 2025年第41週（2025年10月15日現在）</t>
  </si>
  <si>
    <t>https://id-info.jihs.go.jp/surveillance/idwr/diseases/measles/graph/2025/meas25-41.pdf</t>
  </si>
  <si>
    <t>2025-10-15（集計日）</t>
  </si>
  <si>
    <t>令和7年度麻しん風しん定期予防接種の実施状況の調査結果について（最終評価）表1-1 第1期・表1-2 第2期</t>
  </si>
  <si>
    <t>https://id-info.jihs.go.jp/immunization/statistics/coverage/routine-immunization-mr/2025/index.html</t>
  </si>
  <si>
    <t>2026-10-16（更新日）</t>
  </si>
  <si>
    <t>はしか-10</t>
  </si>
  <si>
    <t>令和6年度麻しん風しん定期予防接種の実施状況の調査結果について（最終評価）表1-1 第1期・表1-2 第2期</t>
  </si>
  <si>
    <t>https://id-info.jihs.go.jp/immunization/statistics/coverage/routine-immunization-mr/2024/index.html</t>
  </si>
  <si>
    <t>2025-09-29（更新日）</t>
  </si>
  <si>
    <t>はしか-11</t>
  </si>
  <si>
    <t>麻しんの発生に関するリスクアセスメント（2026年第一版）（2026年3月19日時点）</t>
  </si>
  <si>
    <t>https://id-info.jihs.go.jp/risk-assessment/measles/measles_ra_2026_1.pdf</t>
  </si>
  <si>
    <t>2026-04-10</t>
  </si>
  <si>
    <t>はしか-12</t>
  </si>
  <si>
    <t>麻しんの現状と対策について（報告）第103回厚生科学審議会感染症部会 資料3</t>
  </si>
  <si>
    <t>https://www.mhlw.go.jp/content/10906000/001696698.pdf</t>
  </si>
  <si>
    <t>2026-04-22</t>
  </si>
  <si>
    <t>はしか-13</t>
  </si>
  <si>
    <t>IDWR 2026年第20号＜注目すべき感染症＞麻しん（2026年5月20日現在）</t>
  </si>
  <si>
    <t>https://id-info.jihs.go.jp/surveillance/idwr/featured/2026/20/index.html</t>
  </si>
  <si>
    <t>2026-05（データは2026-05-20現在。掲載日の記載なし）</t>
  </si>
  <si>
    <t>はしか-14</t>
  </si>
  <si>
    <t>麻しん（はしか）｜厚生労働省</t>
  </si>
  <si>
    <t>https://www.mhlw.go.jp/seisakunitsuite/bunya/kenkou_iryou/kenkou/kekkaku-kansenshou/measles/</t>
  </si>
  <si>
    <t>不明（ページに更新日の記載なし。掲載資料の最新は2026年8月更新）</t>
  </si>
  <si>
    <t>麻しんに関する特定感染症予防指針（平成19年12月28日、平成31年4月19日一部改正・適用）</t>
  </si>
  <si>
    <t>https://www.mhlw.go.jp/content/000503060.pdf</t>
  </si>
  <si>
    <t>2019-04-19（一部改正）</t>
  </si>
  <si>
    <t>2025年 結核登録者情報調査年報集計結果（PDF・34ページ。表4-1 新登録結核患者数及び罹患率の年次推移、表5-1・表6-1 年齢階級別、表5-7〜5-9 外国生まれ・日本生まれ、表2・表7-1・表7-2 都道府県別、表3 死亡数及び死亡率）</t>
  </si>
  <si>
    <t>https://www.mhlw.go.jp/content/10900000/001755866.pdf</t>
  </si>
  <si>
    <t>2026-10-02（PDFファイルの更新日。ページに公表日の記載なし）</t>
  </si>
  <si>
    <t>結核-2</t>
  </si>
  <si>
    <t>2025年 結核登録者情報調査年報集計結果について（解説ページ）</t>
  </si>
  <si>
    <t>https://www.mhlw.go.jp/stf/seisakunitsuite/bunya/0000175095_00018.html</t>
  </si>
  <si>
    <t>令和7（2025）年 人口動態統計（確定数）の概況 第8表 死因簡単分類別にみた性別死亡数（01200 結核）</t>
  </si>
  <si>
    <t>https://www.mhlw.go.jp/toukei/saikin/hw/jinkou/kakutei25/dl/05_gaikyouR07.pdf</t>
  </si>
  <si>
    <t>2026-09-30</t>
  </si>
  <si>
    <t>IDWR速報データ 2026年第41週 全数把握疾患、報告数、累積報告数、都道府県別（CSV・結核の列）</t>
  </si>
  <si>
    <t>https://id-info.jihs.go.jp/surveillance/idwr/provisional/2026/41/2026-41-zensu.csv</t>
  </si>
  <si>
    <t>2026-10-14</t>
  </si>
  <si>
    <t>結核-5</t>
  </si>
  <si>
    <t>IDWR速報データ 2025年第41週 全数把握疾患、報告数、累積報告数、都道府県別（CSV・結核の列）</t>
  </si>
  <si>
    <t>https://id-info.jihs.go.jp/surveillance/idwr/provisional/2025/41/2025-41-zensu.csv</t>
  </si>
  <si>
    <t>2025-10-15</t>
  </si>
  <si>
    <t>結核-6</t>
  </si>
  <si>
    <t>感染症週報（IDWR）2026年第41週（10月5日〜10月11日）</t>
  </si>
  <si>
    <t>厚生労働省／国立健康危機管理研究機構</t>
  </si>
  <si>
    <t>2026-10-14集計分</t>
  </si>
  <si>
    <t>結核-7</t>
  </si>
  <si>
    <t>結核（結核対策のページ）</t>
  </si>
  <si>
    <t>https://www.mhlw.go.jp/stf/seisakunitsuite/bunya/kenkou_iryou/kenkou/kekkaku-kansenshou03/index.html</t>
  </si>
  <si>
    <t>結核-8</t>
  </si>
  <si>
    <t>第17回厚生科学審議会結核部会 資料1「具体的な目標等について」</t>
  </si>
  <si>
    <t>https://www.mhlw.go.jp/content/10900000/001758610.pdf</t>
  </si>
  <si>
    <t>結核-9</t>
  </si>
  <si>
    <t>第17回厚生科学審議会結核部会 資料2-1「結核に関する特定感染症予防指針の改正について」</t>
  </si>
  <si>
    <t>https://www.mhlw.go.jp/content/10900000/001758611.pdf</t>
  </si>
  <si>
    <t>結核-10</t>
  </si>
  <si>
    <t>BCGワクチン</t>
  </si>
  <si>
    <t>https://www.mhlw.go.jp/stf/seisakunitsuite/bunya/kenkou_iryou/kenkou/kekkaku-kansenshou/yobou-sesshu/vaccine/bcg/index.html</t>
  </si>
  <si>
    <t>記載なし（Q&amp;Aは2026年3月10日版）</t>
  </si>
  <si>
    <t>結核-11</t>
  </si>
  <si>
    <t>入国前結核スクリーニングの実施について</t>
  </si>
  <si>
    <t>https://www.mhlw.go.jp/stf/seisakunitsuite/bunya/kenkou_iryou/kenkou/kekkaku-kansenshou03/index_00006.html</t>
  </si>
  <si>
    <t>2026-09-25（更新日）</t>
  </si>
  <si>
    <t>結核-12</t>
  </si>
  <si>
    <t>感染症発生動向調査年別一覧（全数把握 一類〜三類）2024</t>
  </si>
  <si>
    <t>https://id-info.jihs.go.jp/surveillance/idwr/idwr/2024/year-data/01-03/index.html</t>
  </si>
  <si>
    <t>結核-13</t>
  </si>
  <si>
    <t>感染症法に基づく医師及び獣医師の届出について（結核の届出基準）</t>
  </si>
  <si>
    <t>https://www.mhlw.go.jp/bunya/kenkou/kekkaku-kansenshou11/01-02-02.html</t>
  </si>
  <si>
    <t>AIDSinfo ファクトシート（世界・地域・国別、2025年の推計）※Factsheets から地域・国を選んで表示</t>
  </si>
  <si>
    <t>国連合同エイズ計画（UNAIDS）</t>
  </si>
  <si>
    <t>https://aidsinfo.unaids.org/</t>
  </si>
  <si>
    <t>2026-07-27（2026年版の推計）</t>
  </si>
  <si>
    <t>Global HIV &amp; AIDS statistics — Fact sheet（2025年の世界の数字）</t>
  </si>
  <si>
    <t>https://www.unaids.org/en/resources/fact-sheet</t>
  </si>
  <si>
    <t>2026-07-27</t>
  </si>
  <si>
    <t>世界-3</t>
  </si>
  <si>
    <t>特定技能に関する二国間の協力覚書</t>
  </si>
  <si>
    <t>出入国在留管理庁</t>
  </si>
  <si>
    <t>https://www.moj.go.jp/isa/applications/ssw/nyuukokukanri05_00021.html</t>
  </si>
  <si>
    <t>世界-4</t>
  </si>
  <si>
    <t>日本国とタジキスタン共和国との間の在留資格「特定技能」に係る協力覚書（MOC）の作成について</t>
  </si>
  <si>
    <t>https://www.moj.go.jp/isa/10_00200.html</t>
  </si>
  <si>
    <t>記載なし（署名は2024年8月8日）</t>
  </si>
  <si>
    <t>世界-5</t>
  </si>
  <si>
    <t>二国間取決め（技能実習の協力覚書）</t>
  </si>
  <si>
    <t>外国人技能実習機構（OTIT）</t>
  </si>
  <si>
    <t>https://www.otit.go.jp/soushutsu_nikokukan/</t>
  </si>
  <si>
    <t>世界-6</t>
  </si>
  <si>
    <t>入国前結核スクリーニングの実施について Japan Pre-Entry Tuberculosis Screening（JPETS）</t>
  </si>
  <si>
    <t>2026-09-25 更新</t>
  </si>
  <si>
    <t>世界-7</t>
  </si>
  <si>
    <t>JPETS（入国前結核スクリーニング）公式サイト：指定健診医療機関</t>
  </si>
  <si>
    <t>https://jpets.mhlw.go.jp/jp/</t>
  </si>
  <si>
    <t>国ごとに更新（インドネシア 2026-10-09）</t>
  </si>
  <si>
    <t>世界-8</t>
  </si>
  <si>
    <t>日本と人の移動の課題（日本入国前結核スクリーニング〔JPETS〕）</t>
  </si>
  <si>
    <t>国際移住機関（IOM）駐日事務所</t>
  </si>
  <si>
    <t>https://japan.iom.int/japan_human_mobility</t>
  </si>
  <si>
    <t>世界-9</t>
  </si>
  <si>
    <t>IOM事務局長 出入国在留管理庁との協力覚書（MOC）に署名</t>
  </si>
  <si>
    <t>https://japan.iom.int/news/dg-signed-moc-with-isa</t>
  </si>
  <si>
    <t>2024-02-26</t>
  </si>
  <si>
    <t>世界-10</t>
  </si>
  <si>
    <t>HIV/AIDS and Population Mobility（情報シート「IOM Commitment to the Global Response Countering HIV」）</t>
  </si>
  <si>
    <t>国際移住機関（IOM）</t>
  </si>
  <si>
    <t>https://www.iom.int/resources/hiv-aids-and-population-mobility</t>
  </si>
  <si>
    <t>世界-11</t>
  </si>
  <si>
    <t>Live Life Positively: Let Migrants Know Their HIV Status（世界エイズデーの発表）</t>
  </si>
  <si>
    <t>https://www.iom.int/news/live-life-positively-let-migrants-know-their-hiv-status</t>
  </si>
  <si>
    <t>2018-11-30</t>
  </si>
  <si>
    <t>世界-12</t>
  </si>
  <si>
    <t>UNAIDS welcomes New Zealand's decision to lift travel restrictions for people living with HIV</t>
  </si>
  <si>
    <t>https://www.unaids.org/en/resources/presscentre/pressreleaseandstatementarchive/2021/october/new-zealand-lift-travel-restrictions-hiv</t>
  </si>
  <si>
    <t>2021-10-25</t>
  </si>
  <si>
    <t>公費の制度</t>
  </si>
  <si>
    <t>感染症の予防及び感染症の患者に対する医療に関する法律（感染症法）第6条・第17条・第19条・第26条・第37条・第37条の2・第39条・第58条</t>
  </si>
  <si>
    <t>e-Gov法令検索（デジタル庁）</t>
  </si>
  <si>
    <t>https://laws.e-gov.go.jp/law/410AC0000000114</t>
  </si>
  <si>
    <t>2026年10月26日時点の最新の条文</t>
  </si>
  <si>
    <t>結核医療費助成について（医療費公費負担制度）</t>
  </si>
  <si>
    <t>東京都保健医療局</t>
  </si>
  <si>
    <t>https://www.hokeniryo.metro.tokyo.lg.jp/kansen/tomin/josei/joseinituite</t>
  </si>
  <si>
    <t>2024-03-29（更新日）</t>
  </si>
  <si>
    <t>公費-3</t>
  </si>
  <si>
    <t>自立支援医療制度の概要</t>
  </si>
  <si>
    <t>https://www.mhlw.go.jp/stf/seisakunitsuite/bunya/hukushi_kaigo/shougaishahukushi/jiritsu/gaiyo.html</t>
  </si>
  <si>
    <t>公費-4</t>
  </si>
  <si>
    <t>自立支援医療（更生医療）の概要（対象となる障害と治療の例）</t>
  </si>
  <si>
    <t>https://www.mhlw.go.jp/bunya/shougaihoken/jiritsu/kousei.html</t>
  </si>
  <si>
    <t>自立支援医療における患者負担の基本的な枠組み（「重度かつ継続」の範囲と負担上限月額）</t>
  </si>
  <si>
    <t>https://www.mhlw.go.jp/content/001717102.pdf</t>
  </si>
  <si>
    <t>2026-06-30（PDFファイルの更新日。資料に日付の記載なし）</t>
  </si>
  <si>
    <t>後天性免疫不全症候群に関する特定感染症予防指針の改正に向けた検討について（主な論点⑥ 曝露前予防）</t>
  </si>
  <si>
    <t>厚生労働省 健康・生活衛生局 感染症対策部感染症対策課</t>
  </si>
  <si>
    <t>https://www.mhlw.go.jp/content/10906000/001478423.pdf</t>
  </si>
  <si>
    <t>2025-05-14</t>
  </si>
  <si>
    <t>公費-7</t>
  </si>
  <si>
    <t>母子保健に関する最近の動きについて（第8回こども家庭審議会成育医療等分科会 資料1-1：妊婦健診の検査項目と公費負担の現状）</t>
  </si>
  <si>
    <t>こども家庭庁 成育局母子保健課</t>
  </si>
  <si>
    <t>https://www.cfa.go.jp/assets/contents/node/basic_page/field_ref_resources/effb25c5-a638-4fda-8e4d-320fb344dbdb/2bf3f2f9/20260306_councils_shingikai_seiiku_iryou_effb25c5_03.pdf</t>
  </si>
  <si>
    <t>2026-03-06</t>
  </si>
  <si>
    <t>予防接種に関する「よくある質問」（定期接種の対象疾病と費用）</t>
  </si>
  <si>
    <t>https://www.mhlw.go.jp/stf/seisakunitsuite/bunya/kenkou_iryou/kenkou/kekkaku-kansenshou/kihonteki_keikaku/index_00001.html</t>
  </si>
  <si>
    <t>公費-9</t>
  </si>
  <si>
    <t>麻しん及び風しんの定期の予防接種に係る対応について（事務連絡）</t>
  </si>
  <si>
    <t>厚生労働省 健康・生活衛生局感染症対策部予防接種課</t>
  </si>
  <si>
    <t>https://www.mhlw.go.jp/content/10900000/001440529.pdf</t>
  </si>
  <si>
    <t>2025-03-11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</si>
</sst>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quot;年&quot;"/>
    <numFmt numFmtId="177" formatCode="\+0.0%;\-0.0%;0.0%"/>
    <numFmt numFmtId="178" formatCode="0.000"/>
    <numFmt numFmtId="179" formatCode="0.0"/>
    <numFmt numFmtId="180" formatCode="\+0;\-0;0"/>
    <numFmt numFmtId="181" formatCode="0.0&quot;倍&quot;"/>
    <numFmt numFmtId="182" formatCode="#,##0&quot;円&quot;"/>
  </numFmts>
  <fonts count="9" x14ac:knownFonts="1">
    <font>
      <sz val="11"/>
      <color theme="1"/>
      <name val="ＭＳ Ｐゴシック"/>
      <family val="2"/>
      <scheme val="minor"/>
    </font>
    <font>
      <b/>
      <sz val="15"/>
      <color rgb="FF28765B"/>
      <name val="游ゴシック"/>
      <family val="3"/>
      <charset val="128"/>
    </font>
    <font>
      <sz val="9.5"/>
      <color rgb="FF5F6B66"/>
      <name val="游ゴシック"/>
      <family val="3"/>
      <charset val="128"/>
    </font>
    <font>
      <b/>
      <sz val="12"/>
      <color rgb="FF28765B"/>
      <name val="游ゴシック"/>
      <family val="3"/>
      <charset val="128"/>
    </font>
    <font>
      <b/>
      <sz val="10.5"/>
      <color rgb="FFFFFFFF"/>
      <name val="游ゴシック"/>
      <family val="3"/>
      <charset val="128"/>
    </font>
    <font>
      <b/>
      <sz val="10.5"/>
      <name val="游ゴシック"/>
      <family val="3"/>
      <charset val="128"/>
    </font>
    <font>
      <sz val="10.5"/>
      <name val="游ゴシック"/>
      <family val="3"/>
      <charset val="128"/>
    </font>
    <font>
      <u/>
      <sz val="10.5"/>
      <color rgb="FF1F5FA8"/>
      <name val="游ゴシック"/>
      <family val="3"/>
      <charset val="128"/>
    </font>
    <font>
      <sz val="6"/>
      <name val="ＭＳ Ｐゴシック"/>
      <family val="3"/>
      <charset val="128"/>
      <scheme val="minor"/>
    </font>
  </fonts>
  <fills count="7">
    <fill>
      <patternFill patternType="none"/>
    </fill>
    <fill>
      <patternFill patternType="gray125"/>
    </fill>
    <fill>
      <patternFill patternType="solid">
        <fgColor rgb="FF28765B"/>
      </patternFill>
    </fill>
    <fill>
      <patternFill patternType="solid">
        <fgColor rgb="FFFFF4D1"/>
      </patternFill>
    </fill>
    <fill>
      <patternFill patternType="solid">
        <fgColor rgb="FFEEF5F1"/>
      </patternFill>
    </fill>
    <fill>
      <patternFill patternType="solid">
        <fgColor rgb="FFDDEFE4"/>
      </patternFill>
    </fill>
    <fill>
      <patternFill patternType="solid">
        <fgColor rgb="FFEEEEEE"/>
      </patternFill>
    </fill>
  </fills>
  <borders count="2">
    <border>
      <left/>
      <right/>
      <top/>
      <bottom/>
      <diagonal/>
    </border>
    <border>
      <left style="thin">
        <color rgb="FFC9D3CE"/>
      </left>
      <right style="thin">
        <color rgb="FFC9D3CE"/>
      </right>
      <top style="thin">
        <color rgb="FFC9D3CE"/>
      </top>
      <bottom style="thin">
        <color rgb="FFC9D3CE"/>
      </bottom>
      <diagonal/>
    </border>
  </borders>
  <cellStyleXfs count="1">
    <xf numFmtId="0" fontId="0" fillId="0" borderId="0"/>
  </cellStyleXfs>
  <cellXfs count="43">
    <xf numFmtId="0" fontId="0" fillId="0" borderId="0" xfId="0"/>
    <xf numFmtId="0" fontId="1" fillId="0" borderId="0" xfId="0" applyFont="1"/>
    <xf numFmtId="0" fontId="5" fillId="4" borderId="1" xfId="0" applyFont="1" applyFill="1" applyBorder="1" applyAlignment="1">
      <alignment vertical="top"/>
    </xf>
    <xf numFmtId="0" fontId="6" fillId="0" borderId="1" xfId="0" applyFont="1" applyBorder="1" applyAlignment="1">
      <alignment vertical="top" wrapText="1"/>
    </xf>
    <xf numFmtId="0" fontId="4" fillId="2" borderId="1" xfId="0" applyFont="1" applyFill="1" applyBorder="1" applyAlignment="1">
      <alignment horizontal="center" vertical="center" wrapText="1"/>
    </xf>
    <xf numFmtId="0" fontId="5" fillId="4" borderId="1" xfId="0" applyFont="1" applyFill="1" applyBorder="1"/>
    <xf numFmtId="176" fontId="6" fillId="0" borderId="1" xfId="0" applyNumberFormat="1" applyFont="1" applyBorder="1"/>
    <xf numFmtId="3" fontId="5" fillId="0" borderId="1" xfId="0" applyNumberFormat="1" applyFont="1" applyBorder="1"/>
    <xf numFmtId="3" fontId="6" fillId="0" borderId="1" xfId="0" applyNumberFormat="1" applyFont="1" applyBorder="1"/>
    <xf numFmtId="177" fontId="6" fillId="0" borderId="1" xfId="0" applyNumberFormat="1" applyFont="1" applyBorder="1"/>
    <xf numFmtId="181" fontId="6" fillId="0" borderId="1" xfId="0" applyNumberFormat="1" applyFont="1" applyBorder="1"/>
    <xf numFmtId="3" fontId="6" fillId="0" borderId="1" xfId="0" applyNumberFormat="1" applyFont="1" applyBorder="1" applyAlignment="1">
      <alignment horizontal="center"/>
    </xf>
    <xf numFmtId="3" fontId="6" fillId="3" borderId="1" xfId="0" applyNumberFormat="1" applyFont="1" applyFill="1" applyBorder="1"/>
    <xf numFmtId="177" fontId="6" fillId="3" borderId="1" xfId="0" applyNumberFormat="1" applyFont="1" applyFill="1" applyBorder="1"/>
    <xf numFmtId="0" fontId="3" fillId="0" borderId="0" xfId="0" applyFont="1"/>
    <xf numFmtId="0" fontId="6" fillId="0" borderId="1" xfId="0" applyFont="1" applyBorder="1" applyAlignment="1">
      <alignment vertical="top"/>
    </xf>
    <xf numFmtId="0" fontId="5" fillId="5" borderId="1" xfId="0" applyFont="1" applyFill="1" applyBorder="1" applyAlignment="1">
      <alignment horizontal="center" vertical="top"/>
    </xf>
    <xf numFmtId="0" fontId="6" fillId="6" borderId="1" xfId="0" applyFont="1" applyFill="1" applyBorder="1" applyAlignment="1">
      <alignment horizontal="center" vertical="top"/>
    </xf>
    <xf numFmtId="0" fontId="6" fillId="0" borderId="0" xfId="0" applyFont="1" applyAlignment="1">
      <alignment vertical="top" wrapText="1"/>
    </xf>
    <xf numFmtId="0" fontId="5" fillId="0" borderId="0" xfId="0" applyFont="1"/>
    <xf numFmtId="182" fontId="6" fillId="0" borderId="1" xfId="0" applyNumberFormat="1" applyFont="1" applyBorder="1" applyAlignment="1">
      <alignment horizontal="left" vertical="top"/>
    </xf>
    <xf numFmtId="0" fontId="6" fillId="0" borderId="1" xfId="0" applyFont="1" applyBorder="1"/>
    <xf numFmtId="176" fontId="5" fillId="0" borderId="1" xfId="0" applyNumberFormat="1" applyFont="1" applyBorder="1" applyAlignment="1">
      <alignment horizontal="left"/>
    </xf>
    <xf numFmtId="177" fontId="6" fillId="0" borderId="1" xfId="0" applyNumberFormat="1" applyFont="1" applyBorder="1" applyAlignment="1">
      <alignment horizontal="right"/>
    </xf>
    <xf numFmtId="0" fontId="6" fillId="0" borderId="1" xfId="0" applyFont="1" applyBorder="1" applyAlignment="1">
      <alignment horizontal="center"/>
    </xf>
    <xf numFmtId="1" fontId="6" fillId="0" borderId="1" xfId="0" applyNumberFormat="1" applyFont="1" applyBorder="1"/>
    <xf numFmtId="178" fontId="6" fillId="0" borderId="1" xfId="0" applyNumberFormat="1" applyFont="1" applyBorder="1"/>
    <xf numFmtId="179" fontId="6" fillId="0" borderId="1" xfId="0" applyNumberFormat="1" applyFont="1" applyBorder="1"/>
    <xf numFmtId="0" fontId="6" fillId="0" borderId="1" xfId="0" applyFont="1" applyBorder="1" applyAlignment="1">
      <alignment horizontal="left" wrapText="1"/>
    </xf>
    <xf numFmtId="0" fontId="2" fillId="0" borderId="1" xfId="0" applyFont="1" applyBorder="1" applyAlignment="1">
      <alignment horizontal="right"/>
    </xf>
    <xf numFmtId="180" fontId="6" fillId="0" borderId="1" xfId="0" applyNumberFormat="1" applyFont="1" applyBorder="1"/>
    <xf numFmtId="0" fontId="6" fillId="0" borderId="1" xfId="0" applyFont="1" applyBorder="1" applyAlignment="1">
      <alignment horizontal="right" wrapText="1"/>
    </xf>
    <xf numFmtId="176" fontId="5" fillId="3" borderId="1" xfId="0" applyNumberFormat="1" applyFont="1" applyFill="1" applyBorder="1" applyAlignment="1">
      <alignment horizontal="left"/>
    </xf>
    <xf numFmtId="177" fontId="6" fillId="3" borderId="1" xfId="0" applyNumberFormat="1" applyFont="1" applyFill="1" applyBorder="1" applyAlignment="1">
      <alignment horizontal="right"/>
    </xf>
    <xf numFmtId="0" fontId="6" fillId="3" borderId="1" xfId="0" applyFont="1" applyFill="1" applyBorder="1" applyAlignment="1">
      <alignment horizontal="center"/>
    </xf>
    <xf numFmtId="0" fontId="6" fillId="3" borderId="1" xfId="0" applyFont="1" applyFill="1" applyBorder="1"/>
    <xf numFmtId="0" fontId="6" fillId="0" borderId="0" xfId="0" applyFont="1" applyAlignment="1">
      <alignment horizontal="center" vertical="top"/>
    </xf>
    <xf numFmtId="0" fontId="7" fillId="0" borderId="1" xfId="0" applyFont="1" applyBorder="1" applyAlignment="1">
      <alignment vertical="top" wrapText="1"/>
    </xf>
    <xf numFmtId="0" fontId="2" fillId="0" borderId="0" xfId="0" applyFont="1" applyAlignment="1">
      <alignment vertical="top" wrapText="1"/>
    </xf>
    <xf numFmtId="0" fontId="0" fillId="0" borderId="0" xfId="0"/>
    <xf numFmtId="0" fontId="6" fillId="0" borderId="0" xfId="0" applyFont="1" applyAlignment="1">
      <alignment vertical="top" wrapText="1"/>
    </xf>
    <xf numFmtId="0" fontId="6" fillId="0" borderId="1" xfId="0" applyFont="1" applyBorder="1" applyAlignment="1">
      <alignment vertical="top" wrapText="1"/>
    </xf>
    <xf numFmtId="0" fontId="4" fillId="2" borderId="1" xfId="0" applyFont="1" applyFill="1" applyBorder="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0.xml.rels><?xml version="1.0" encoding="UTF-8" standalone="yes"?>
<Relationships xmlns="http://schemas.openxmlformats.org/package/2006/relationships"><Relationship Id="rId26" Type="http://schemas.openxmlformats.org/officeDocument/2006/relationships/hyperlink" Target="https://www.mhlw.go.jp/stf/seisakunitsuite/bunya/kenkou_iryou/kenkou/kekkaku-kansenshou/seikansenshou/syphilis.html" TargetMode="External"/><Relationship Id="rId21" Type="http://schemas.openxmlformats.org/officeDocument/2006/relationships/hyperlink" Target="https://id-info.jihs.go.jp/surveillance/idwr/annual/2024/syulist/Syu_04_1.xlsx" TargetMode="External"/><Relationship Id="rId42" Type="http://schemas.openxmlformats.org/officeDocument/2006/relationships/hyperlink" Target="https://www.mhlw.go.jp/content/10906000/001696698.pdf" TargetMode="External"/><Relationship Id="rId47" Type="http://schemas.openxmlformats.org/officeDocument/2006/relationships/hyperlink" Target="https://www.mhlw.go.jp/stf/seisakunitsuite/bunya/0000175095_00018.html" TargetMode="External"/><Relationship Id="rId63" Type="http://schemas.openxmlformats.org/officeDocument/2006/relationships/hyperlink" Target="https://www.otit.go.jp/soushutsu_nikokukan/" TargetMode="External"/><Relationship Id="rId68" Type="http://schemas.openxmlformats.org/officeDocument/2006/relationships/hyperlink" Target="https://www.iom.int/resources/hiv-aids-and-population-mobility" TargetMode="External"/><Relationship Id="rId16" Type="http://schemas.openxmlformats.org/officeDocument/2006/relationships/hyperlink" Target="https://www.mhlw.go.jp/content/001593106.pdf" TargetMode="External"/><Relationship Id="rId11" Type="http://schemas.openxmlformats.org/officeDocument/2006/relationships/hyperlink" Target="https://api-net.jfap.or.jp/status/japan/data/2026/2609/20260916.xlsx" TargetMode="External"/><Relationship Id="rId24" Type="http://schemas.openxmlformats.org/officeDocument/2006/relationships/hyperlink" Target="https://id-info.jihs.go.jp/surveillance/idwr/idwr/2025/idwr2025-41.pdf" TargetMode="External"/><Relationship Id="rId32" Type="http://schemas.openxmlformats.org/officeDocument/2006/relationships/hyperlink" Target="https://id-info.jihs.go.jp/surveillance/idwr/annual/2024/syulist/Syu_04_1.xlsx" TargetMode="External"/><Relationship Id="rId37" Type="http://schemas.openxmlformats.org/officeDocument/2006/relationships/hyperlink" Target="https://id-info.jihs.go.jp/surveillance/idwr/diseases/measles/graph/2026/meas26-41.pdf" TargetMode="External"/><Relationship Id="rId40" Type="http://schemas.openxmlformats.org/officeDocument/2006/relationships/hyperlink" Target="https://id-info.jihs.go.jp/immunization/statistics/coverage/routine-immunization-mr/2024/index.html" TargetMode="External"/><Relationship Id="rId45" Type="http://schemas.openxmlformats.org/officeDocument/2006/relationships/hyperlink" Target="https://www.mhlw.go.jp/content/000503060.pdf" TargetMode="External"/><Relationship Id="rId53" Type="http://schemas.openxmlformats.org/officeDocument/2006/relationships/hyperlink" Target="https://www.mhlw.go.jp/content/10900000/001758610.pdf" TargetMode="External"/><Relationship Id="rId58" Type="http://schemas.openxmlformats.org/officeDocument/2006/relationships/hyperlink" Target="https://www.mhlw.go.jp/bunya/kenkou/kekkaku-kansenshou11/01-02-02.html" TargetMode="External"/><Relationship Id="rId66" Type="http://schemas.openxmlformats.org/officeDocument/2006/relationships/hyperlink" Target="https://japan.iom.int/japan_human_mobility" TargetMode="External"/><Relationship Id="rId74" Type="http://schemas.openxmlformats.org/officeDocument/2006/relationships/hyperlink" Target="https://www.mhlw.go.jp/bunya/shougaihoken/jiritsu/kousei.html" TargetMode="External"/><Relationship Id="rId79" Type="http://schemas.openxmlformats.org/officeDocument/2006/relationships/hyperlink" Target="https://www.mhlw.go.jp/content/10900000/001440529.pdf" TargetMode="External"/><Relationship Id="rId5" Type="http://schemas.openxmlformats.org/officeDocument/2006/relationships/hyperlink" Target="https://api-net.jfap.or.jp/status/japan/data/2025/nenpo/hyo-061.pdf" TargetMode="External"/><Relationship Id="rId61" Type="http://schemas.openxmlformats.org/officeDocument/2006/relationships/hyperlink" Target="https://www.moj.go.jp/isa/applications/ssw/nyuukokukanri05_00021.html" TargetMode="External"/><Relationship Id="rId19" Type="http://schemas.openxmlformats.org/officeDocument/2006/relationships/hyperlink" Target="https://www.mhlw.go.jp/content/10900000/001678695.xlsx" TargetMode="External"/><Relationship Id="rId14" Type="http://schemas.openxmlformats.org/officeDocument/2006/relationships/hyperlink" Target="https://www.mhlw.go.jp/stf/seisakunitsuite/bunya/kenkou_iryou/kenkou/kekkaku-kansenshou/aids/index.html" TargetMode="External"/><Relationship Id="rId22" Type="http://schemas.openxmlformats.org/officeDocument/2006/relationships/hyperlink" Target="https://id-info.jihs.go.jp/surveillance/idwr/idwr/2024/year-data/05/index.html" TargetMode="External"/><Relationship Id="rId27" Type="http://schemas.openxmlformats.org/officeDocument/2006/relationships/hyperlink" Target="https://id-info.jihs.go.jp/surveillance/idss/target-diseases/syphilis/notification/syphilis2026q3.pdf" TargetMode="External"/><Relationship Id="rId30" Type="http://schemas.openxmlformats.org/officeDocument/2006/relationships/hyperlink" Target="https://id-info.jihs.go.jp/surveillance/idwr/idwr/2024/idwr2024-52.pdf" TargetMode="External"/><Relationship Id="rId35" Type="http://schemas.openxmlformats.org/officeDocument/2006/relationships/hyperlink" Target="https://id-info.jihs.go.jp/surveillance/idwr/diseases/measles/graph/2024/meas24-52.pdf" TargetMode="External"/><Relationship Id="rId43" Type="http://schemas.openxmlformats.org/officeDocument/2006/relationships/hyperlink" Target="https://id-info.jihs.go.jp/surveillance/idwr/featured/2026/20/index.html" TargetMode="External"/><Relationship Id="rId48" Type="http://schemas.openxmlformats.org/officeDocument/2006/relationships/hyperlink" Target="https://www.mhlw.go.jp/toukei/saikin/hw/jinkou/kakutei25/dl/05_gaikyouR07.pdf" TargetMode="External"/><Relationship Id="rId56" Type="http://schemas.openxmlformats.org/officeDocument/2006/relationships/hyperlink" Target="https://www.mhlw.go.jp/stf/seisakunitsuite/bunya/kenkou_iryou/kenkou/kekkaku-kansenshou03/index_00006.html" TargetMode="External"/><Relationship Id="rId64" Type="http://schemas.openxmlformats.org/officeDocument/2006/relationships/hyperlink" Target="https://www.mhlw.go.jp/stf/seisakunitsuite/bunya/kenkou_iryou/kenkou/kekkaku-kansenshou03/index_00006.html" TargetMode="External"/><Relationship Id="rId69" Type="http://schemas.openxmlformats.org/officeDocument/2006/relationships/hyperlink" Target="https://www.iom.int/news/live-life-positively-let-migrants-know-their-hiv-status" TargetMode="External"/><Relationship Id="rId77" Type="http://schemas.openxmlformats.org/officeDocument/2006/relationships/hyperlink" Target="https://www.cfa.go.jp/assets/contents/node/basic_page/field_ref_resources/effb25c5-a638-4fda-8e4d-320fb344dbdb/2bf3f2f9/20260306_councils_shingikai_seiiku_iryou_effb25c5_03.pdf" TargetMode="External"/><Relationship Id="rId8" Type="http://schemas.openxmlformats.org/officeDocument/2006/relationships/hyperlink" Target="https://api-net.jfap.or.jp/status/japan/data/2025/nenpo/kensa.pdf" TargetMode="External"/><Relationship Id="rId51" Type="http://schemas.openxmlformats.org/officeDocument/2006/relationships/hyperlink" Target="https://id-info.jihs.go.jp/surveillance/idwr/idwr/2026/idwr2026-41.pdf" TargetMode="External"/><Relationship Id="rId72" Type="http://schemas.openxmlformats.org/officeDocument/2006/relationships/hyperlink" Target="https://www.hokeniryo.metro.tokyo.lg.jp/kansen/tomin/josei/joseinituite" TargetMode="External"/><Relationship Id="rId3" Type="http://schemas.openxmlformats.org/officeDocument/2006/relationships/hyperlink" Target="https://api-net.jfap.or.jp/status/japan/data/2025/nenpo/hyo-01.pdf" TargetMode="External"/><Relationship Id="rId12" Type="http://schemas.openxmlformats.org/officeDocument/2006/relationships/hyperlink" Target="https://api-net.jfap.or.jp/status/japan/data/2026/2603/20260326_coment.pdf" TargetMode="External"/><Relationship Id="rId17" Type="http://schemas.openxmlformats.org/officeDocument/2006/relationships/hyperlink" Target="https://www.mhlw.go.jp/content/10906000/001534119.pdf" TargetMode="External"/><Relationship Id="rId25" Type="http://schemas.openxmlformats.org/officeDocument/2006/relationships/hyperlink" Target="https://id-info.jihs.go.jp/surveillance/idwr/idwr/2025/idwr2025-52.pdf" TargetMode="External"/><Relationship Id="rId33" Type="http://schemas.openxmlformats.org/officeDocument/2006/relationships/hyperlink" Target="https://id-info.jihs.go.jp/surveillance/idwr/annual/2024/syulist/Syu_07_1.xlsx" TargetMode="External"/><Relationship Id="rId38" Type="http://schemas.openxmlformats.org/officeDocument/2006/relationships/hyperlink" Target="https://id-info.jihs.go.jp/surveillance/idwr/diseases/measles/graph/2025/meas25-41.pdf" TargetMode="External"/><Relationship Id="rId46" Type="http://schemas.openxmlformats.org/officeDocument/2006/relationships/hyperlink" Target="https://www.mhlw.go.jp/content/10900000/001755866.pdf" TargetMode="External"/><Relationship Id="rId59" Type="http://schemas.openxmlformats.org/officeDocument/2006/relationships/hyperlink" Target="https://aidsinfo.unaids.org/" TargetMode="External"/><Relationship Id="rId67" Type="http://schemas.openxmlformats.org/officeDocument/2006/relationships/hyperlink" Target="https://japan.iom.int/news/dg-signed-moc-with-isa" TargetMode="External"/><Relationship Id="rId20" Type="http://schemas.openxmlformats.org/officeDocument/2006/relationships/hyperlink" Target="https://id-info.jihs.go.jp/surveillance/idss/target-diseases/syphilis/2024/20260428Syphilis.pdf" TargetMode="External"/><Relationship Id="rId41" Type="http://schemas.openxmlformats.org/officeDocument/2006/relationships/hyperlink" Target="https://id-info.jihs.go.jp/risk-assessment/measles/measles_ra_2026_1.pdf" TargetMode="External"/><Relationship Id="rId54" Type="http://schemas.openxmlformats.org/officeDocument/2006/relationships/hyperlink" Target="https://www.mhlw.go.jp/content/10900000/001758611.pdf" TargetMode="External"/><Relationship Id="rId62" Type="http://schemas.openxmlformats.org/officeDocument/2006/relationships/hyperlink" Target="https://www.moj.go.jp/isa/10_00200.html" TargetMode="External"/><Relationship Id="rId70" Type="http://schemas.openxmlformats.org/officeDocument/2006/relationships/hyperlink" Target="https://www.unaids.org/en/resources/presscentre/pressreleaseandstatementarchive/2021/october/new-zealand-lift-travel-restrictions-hiv" TargetMode="External"/><Relationship Id="rId75" Type="http://schemas.openxmlformats.org/officeDocument/2006/relationships/hyperlink" Target="https://www.mhlw.go.jp/content/001717102.pdf" TargetMode="External"/><Relationship Id="rId1" Type="http://schemas.openxmlformats.org/officeDocument/2006/relationships/hyperlink" Target="https://api-net.jfap.or.jp/status/japan/data/2026/2609/20260916_coment_kak.pdf" TargetMode="External"/><Relationship Id="rId6" Type="http://schemas.openxmlformats.org/officeDocument/2006/relationships/hyperlink" Target="https://api-net.jfap.or.jp/status/japan/data/2025/nenpo/hyo-101.pdf" TargetMode="External"/><Relationship Id="rId15" Type="http://schemas.openxmlformats.org/officeDocument/2006/relationships/hyperlink" Target="https://www.mhlw.go.jp/content/001593105.pdf" TargetMode="External"/><Relationship Id="rId23" Type="http://schemas.openxmlformats.org/officeDocument/2006/relationships/hyperlink" Target="https://id-info.jihs.go.jp/surveillance/idwr/idwr/2026/idwr2026-41.pdf" TargetMode="External"/><Relationship Id="rId28" Type="http://schemas.openxmlformats.org/officeDocument/2006/relationships/hyperlink" Target="https://www.mhlw.go.jp/content/10900000/001595214.pdf" TargetMode="External"/><Relationship Id="rId36" Type="http://schemas.openxmlformats.org/officeDocument/2006/relationships/hyperlink" Target="https://id-info.jihs.go.jp/surveillance/idwr/diseases/measles/graph/2025/meas25-52.pdf" TargetMode="External"/><Relationship Id="rId49" Type="http://schemas.openxmlformats.org/officeDocument/2006/relationships/hyperlink" Target="https://id-info.jihs.go.jp/surveillance/idwr/provisional/2026/41/2026-41-zensu.csv" TargetMode="External"/><Relationship Id="rId57" Type="http://schemas.openxmlformats.org/officeDocument/2006/relationships/hyperlink" Target="https://id-info.jihs.go.jp/surveillance/idwr/idwr/2024/year-data/01-03/index.html" TargetMode="External"/><Relationship Id="rId10" Type="http://schemas.openxmlformats.org/officeDocument/2006/relationships/hyperlink" Target="https://api-net.jfap.or.jp/status/japan/data/2026/2609/20260916_coment.pdf" TargetMode="External"/><Relationship Id="rId31" Type="http://schemas.openxmlformats.org/officeDocument/2006/relationships/hyperlink" Target="https://id-info.jihs.go.jp/surveillance/idwr/idwr/2024/year-data/05/index.html" TargetMode="External"/><Relationship Id="rId44" Type="http://schemas.openxmlformats.org/officeDocument/2006/relationships/hyperlink" Target="https://www.mhlw.go.jp/seisakunitsuite/bunya/kenkou_iryou/kenkou/kekkaku-kansenshou/measles/" TargetMode="External"/><Relationship Id="rId52" Type="http://schemas.openxmlformats.org/officeDocument/2006/relationships/hyperlink" Target="https://www.mhlw.go.jp/stf/seisakunitsuite/bunya/kenkou_iryou/kenkou/kekkaku-kansenshou03/index.html" TargetMode="External"/><Relationship Id="rId60" Type="http://schemas.openxmlformats.org/officeDocument/2006/relationships/hyperlink" Target="https://www.unaids.org/en/resources/fact-sheet" TargetMode="External"/><Relationship Id="rId65" Type="http://schemas.openxmlformats.org/officeDocument/2006/relationships/hyperlink" Target="https://jpets.mhlw.go.jp/jp/" TargetMode="External"/><Relationship Id="rId73" Type="http://schemas.openxmlformats.org/officeDocument/2006/relationships/hyperlink" Target="https://www.mhlw.go.jp/stf/seisakunitsuite/bunya/hukushi_kaigo/shougaishahukushi/jiritsu/gaiyo.html" TargetMode="External"/><Relationship Id="rId78" Type="http://schemas.openxmlformats.org/officeDocument/2006/relationships/hyperlink" Target="https://www.mhlw.go.jp/stf/seisakunitsuite/bunya/kenkou_iryou/kenkou/kekkaku-kansenshou/kihonteki_keikaku/index_00001.html" TargetMode="External"/><Relationship Id="rId4" Type="http://schemas.openxmlformats.org/officeDocument/2006/relationships/hyperlink" Target="https://api-net.jfap.or.jp/status/japan/data/2025/nenpo/hyo-03.pdf" TargetMode="External"/><Relationship Id="rId9" Type="http://schemas.openxmlformats.org/officeDocument/2006/relationships/hyperlink" Target="https://api-net.jfap.or.jp/status/japan/data/2025/nenpo/soudan.pdf" TargetMode="External"/><Relationship Id="rId13" Type="http://schemas.openxmlformats.org/officeDocument/2006/relationships/hyperlink" Target="https://api-net.jfap.or.jp/status/japan/data/2025/2503/20250328_coment.pdf" TargetMode="External"/><Relationship Id="rId18" Type="http://schemas.openxmlformats.org/officeDocument/2006/relationships/hyperlink" Target="https://api-net.jfap.or.jp/status/japan/nenpo.html" TargetMode="External"/><Relationship Id="rId39" Type="http://schemas.openxmlformats.org/officeDocument/2006/relationships/hyperlink" Target="https://id-info.jihs.go.jp/immunization/statistics/coverage/routine-immunization-mr/2025/index.html" TargetMode="External"/><Relationship Id="rId34" Type="http://schemas.openxmlformats.org/officeDocument/2006/relationships/hyperlink" Target="https://id-info.jihs.go.jp/surveillance/iasr/pathogens/vol46/545/Vol46-7_no545.pdf" TargetMode="External"/><Relationship Id="rId50" Type="http://schemas.openxmlformats.org/officeDocument/2006/relationships/hyperlink" Target="https://id-info.jihs.go.jp/surveillance/idwr/provisional/2025/41/2025-41-zensu.csv" TargetMode="External"/><Relationship Id="rId55" Type="http://schemas.openxmlformats.org/officeDocument/2006/relationships/hyperlink" Target="https://www.mhlw.go.jp/stf/seisakunitsuite/bunya/kenkou_iryou/kenkou/kekkaku-kansenshou/yobou-sesshu/vaccine/bcg/index.html" TargetMode="External"/><Relationship Id="rId76" Type="http://schemas.openxmlformats.org/officeDocument/2006/relationships/hyperlink" Target="https://www.mhlw.go.jp/content/10906000/001478423.pdf" TargetMode="External"/><Relationship Id="rId7" Type="http://schemas.openxmlformats.org/officeDocument/2006/relationships/hyperlink" Target="https://api-net.jfap.or.jp/status/japan/data/2025/nenpo/hyo-104.pdf" TargetMode="External"/><Relationship Id="rId71" Type="http://schemas.openxmlformats.org/officeDocument/2006/relationships/hyperlink" Target="https://laws.e-gov.go.jp/law/410AC0000000114" TargetMode="External"/><Relationship Id="rId2" Type="http://schemas.openxmlformats.org/officeDocument/2006/relationships/hyperlink" Target="https://api-net.jfap.or.jp/status/japan/data/2025/nenpo/r07gaiyo.pdf" TargetMode="External"/><Relationship Id="rId29" Type="http://schemas.openxmlformats.org/officeDocument/2006/relationships/hyperlink" Target="https://www.mhlw.go.jp/stf/seisakunitsuite/bunya/kenkou_iryou/syphilis_qa.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showGridLines="0" tabSelected="1" workbookViewId="0"/>
  </sheetViews>
  <sheetFormatPr defaultRowHeight="13.2" x14ac:dyDescent="0.2"/>
  <cols>
    <col min="1" max="1" width="22" customWidth="1"/>
    <col min="2" max="2" width="100" customWidth="1"/>
  </cols>
  <sheetData>
    <row r="1" spans="1:2" ht="24.6" x14ac:dyDescent="0.6">
      <c r="A1" s="1" t="s">
        <v>0</v>
      </c>
    </row>
    <row r="3" spans="1:2" ht="19.95" customHeight="1" x14ac:dyDescent="0.2">
      <c r="A3" s="2" t="s">
        <v>1</v>
      </c>
      <c r="B3" s="3" t="s">
        <v>2</v>
      </c>
    </row>
    <row r="4" spans="1:2" ht="31.95" customHeight="1" x14ac:dyDescent="0.2">
      <c r="A4" s="2" t="s">
        <v>3</v>
      </c>
      <c r="B4" s="3" t="s">
        <v>4</v>
      </c>
    </row>
    <row r="5" spans="1:2" ht="64.05" customHeight="1" x14ac:dyDescent="0.2">
      <c r="A5" s="2" t="s">
        <v>5</v>
      </c>
      <c r="B5" s="3" t="s">
        <v>6</v>
      </c>
    </row>
    <row r="6" spans="1:2" ht="144" customHeight="1" x14ac:dyDescent="0.2">
      <c r="A6" s="2" t="s">
        <v>7</v>
      </c>
      <c r="B6" s="3" t="s">
        <v>8</v>
      </c>
    </row>
    <row r="7" spans="1:2" ht="19.95" customHeight="1" x14ac:dyDescent="0.2">
      <c r="A7" s="2" t="s">
        <v>9</v>
      </c>
      <c r="B7" s="3" t="s">
        <v>10</v>
      </c>
    </row>
    <row r="8" spans="1:2" ht="19.95" customHeight="1" x14ac:dyDescent="0.2">
      <c r="A8" s="2" t="s">
        <v>11</v>
      </c>
      <c r="B8" s="3" t="s">
        <v>12</v>
      </c>
    </row>
    <row r="9" spans="1:2" ht="31.95" customHeight="1" x14ac:dyDescent="0.2">
      <c r="A9" s="2" t="s">
        <v>13</v>
      </c>
      <c r="B9" s="3" t="s">
        <v>14</v>
      </c>
    </row>
    <row r="10" spans="1:2" ht="19.95" customHeight="1" x14ac:dyDescent="0.2">
      <c r="A10" s="2" t="s">
        <v>15</v>
      </c>
      <c r="B10" s="3" t="s">
        <v>16</v>
      </c>
    </row>
    <row r="11" spans="1:2" ht="19.95" customHeight="1" x14ac:dyDescent="0.2">
      <c r="A11" s="2" t="s">
        <v>17</v>
      </c>
      <c r="B11" s="3" t="s">
        <v>18</v>
      </c>
    </row>
  </sheetData>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3"/>
  <sheetViews>
    <sheetView showGridLines="0" workbookViewId="0">
      <pane xSplit="1" ySplit="4" topLeftCell="B5" activePane="bottomRight" state="frozen"/>
      <selection pane="topRight"/>
      <selection pane="bottomLeft"/>
      <selection pane="bottomRight"/>
    </sheetView>
  </sheetViews>
  <sheetFormatPr defaultRowHeight="13.2" x14ac:dyDescent="0.2"/>
  <cols>
    <col min="1" max="1" width="18" customWidth="1"/>
    <col min="2" max="2" width="30" customWidth="1"/>
    <col min="3" max="3" width="12" customWidth="1"/>
    <col min="4" max="5" width="13" customWidth="1"/>
    <col min="6" max="7" width="11" customWidth="1"/>
    <col min="8" max="9" width="12" customWidth="1"/>
    <col min="10" max="10" width="13" customWidth="1"/>
    <col min="11" max="11" width="30" customWidth="1"/>
    <col min="12" max="13" width="13" customWidth="1"/>
    <col min="14" max="14" width="11" customWidth="1"/>
  </cols>
  <sheetData>
    <row r="1" spans="1:14" ht="24.6" x14ac:dyDescent="0.6">
      <c r="A1" s="1" t="s">
        <v>19</v>
      </c>
    </row>
    <row r="2" spans="1:14" ht="18" customHeight="1" x14ac:dyDescent="0.2">
      <c r="A2" s="38" t="s">
        <v>20</v>
      </c>
      <c r="B2" s="39"/>
      <c r="C2" s="39"/>
      <c r="D2" s="39"/>
      <c r="E2" s="39"/>
      <c r="F2" s="39"/>
      <c r="G2" s="39"/>
      <c r="H2" s="39"/>
      <c r="I2" s="39"/>
      <c r="J2" s="39"/>
      <c r="K2" s="39"/>
      <c r="L2" s="39"/>
      <c r="M2" s="39"/>
      <c r="N2" s="39"/>
    </row>
    <row r="4" spans="1:14" ht="30" customHeight="1" x14ac:dyDescent="0.2">
      <c r="A4" s="4" t="s">
        <v>21</v>
      </c>
      <c r="B4" s="4" t="s">
        <v>22</v>
      </c>
      <c r="C4" s="4" t="s">
        <v>23</v>
      </c>
      <c r="D4" s="4" t="s">
        <v>24</v>
      </c>
      <c r="E4" s="4" t="s">
        <v>25</v>
      </c>
      <c r="F4" s="4" t="s">
        <v>26</v>
      </c>
      <c r="G4" s="4" t="s">
        <v>27</v>
      </c>
      <c r="H4" s="4" t="s">
        <v>28</v>
      </c>
      <c r="I4" s="4" t="s">
        <v>29</v>
      </c>
      <c r="J4" s="4" t="s">
        <v>30</v>
      </c>
      <c r="K4" s="4" t="s">
        <v>31</v>
      </c>
      <c r="L4" s="4" t="s">
        <v>32</v>
      </c>
      <c r="M4" s="4" t="s">
        <v>33</v>
      </c>
      <c r="N4" s="4" t="s">
        <v>34</v>
      </c>
    </row>
    <row r="5" spans="1:14" ht="36" customHeight="1" x14ac:dyDescent="0.45">
      <c r="A5" s="5" t="s">
        <v>35</v>
      </c>
      <c r="B5" s="3" t="s">
        <v>36</v>
      </c>
      <c r="C5" s="6">
        <f>HIV・エイズ!A15</f>
        <v>2025</v>
      </c>
      <c r="D5" s="7">
        <f>HIV・エイズ!D15</f>
        <v>890</v>
      </c>
      <c r="E5" s="8">
        <f>HIV・エイズ!D14</f>
        <v>994</v>
      </c>
      <c r="F5" s="9">
        <f>D5/E5-1</f>
        <v>-0.1046277665995976</v>
      </c>
      <c r="G5" s="6">
        <f>HIV・エイズ!A6</f>
        <v>2016</v>
      </c>
      <c r="H5" s="8">
        <f>HIV・エイズ!D6</f>
        <v>1448</v>
      </c>
      <c r="I5" s="10">
        <f>D5/H5</f>
        <v>0.61464088397790051</v>
      </c>
      <c r="J5" s="11" t="s">
        <v>37</v>
      </c>
      <c r="K5" s="3" t="str">
        <f>HIV・エイズ!B22</f>
        <v>2026年1〜6月ごろ（第1・第2四半期）</v>
      </c>
      <c r="L5" s="12">
        <f>HIV・エイズ!C22</f>
        <v>477</v>
      </c>
      <c r="M5" s="12">
        <f>HIV・エイズ!D22</f>
        <v>423</v>
      </c>
      <c r="N5" s="13">
        <f>L5/M5-1</f>
        <v>0.12765957446808507</v>
      </c>
    </row>
    <row r="6" spans="1:14" ht="36" customHeight="1" x14ac:dyDescent="0.45">
      <c r="A6" s="5" t="s">
        <v>38</v>
      </c>
      <c r="B6" s="3" t="s">
        <v>39</v>
      </c>
      <c r="C6" s="6">
        <f>梅毒!A15</f>
        <v>2024</v>
      </c>
      <c r="D6" s="7">
        <f>梅毒!B15</f>
        <v>14829</v>
      </c>
      <c r="E6" s="8">
        <f>梅毒!B14</f>
        <v>15055</v>
      </c>
      <c r="F6" s="9">
        <f>D6/E6-1</f>
        <v>-1.501162404516776E-2</v>
      </c>
      <c r="G6" s="6">
        <f>梅毒!A6</f>
        <v>2015</v>
      </c>
      <c r="H6" s="8">
        <f>梅毒!B6</f>
        <v>2690</v>
      </c>
      <c r="I6" s="10">
        <f>D6/H6</f>
        <v>5.5126394052044612</v>
      </c>
      <c r="J6" s="12">
        <f>梅毒!B16</f>
        <v>13530</v>
      </c>
      <c r="K6" s="3" t="str">
        <f>梅毒!B21</f>
        <v>2026年1月〜10月11日（第41週まで）</v>
      </c>
      <c r="L6" s="12">
        <f>梅毒!C21</f>
        <v>8942</v>
      </c>
      <c r="M6" s="12">
        <f>梅毒!D21</f>
        <v>10985</v>
      </c>
      <c r="N6" s="13">
        <f>L6/M6-1</f>
        <v>-0.18598088302230309</v>
      </c>
    </row>
    <row r="7" spans="1:14" ht="36" customHeight="1" x14ac:dyDescent="0.45">
      <c r="A7" s="5" t="s">
        <v>40</v>
      </c>
      <c r="B7" s="3" t="s">
        <v>39</v>
      </c>
      <c r="C7" s="6">
        <f>はしか!A15</f>
        <v>2024</v>
      </c>
      <c r="D7" s="7">
        <f>はしか!B15</f>
        <v>45</v>
      </c>
      <c r="E7" s="8">
        <f>はしか!B14</f>
        <v>28</v>
      </c>
      <c r="F7" s="9">
        <f>D7/E7-1</f>
        <v>0.60714285714285721</v>
      </c>
      <c r="G7" s="6">
        <f>はしか!A6</f>
        <v>2015</v>
      </c>
      <c r="H7" s="8">
        <f>はしか!B6</f>
        <v>35</v>
      </c>
      <c r="I7" s="10">
        <f>D7/H7</f>
        <v>1.2857142857142858</v>
      </c>
      <c r="J7" s="12">
        <f>はしか!B16</f>
        <v>265</v>
      </c>
      <c r="K7" s="3" t="str">
        <f>はしか!B21</f>
        <v>2026年1月〜10月11日（第41週まで）</v>
      </c>
      <c r="L7" s="12">
        <f>はしか!C21</f>
        <v>579</v>
      </c>
      <c r="M7" s="12">
        <f>はしか!D21</f>
        <v>231</v>
      </c>
      <c r="N7" s="13">
        <f>L7/M7-1</f>
        <v>1.5064935064935066</v>
      </c>
    </row>
    <row r="8" spans="1:14" ht="36" customHeight="1" x14ac:dyDescent="0.45">
      <c r="A8" s="5" t="s">
        <v>41</v>
      </c>
      <c r="B8" s="3" t="s">
        <v>42</v>
      </c>
      <c r="C8" s="6">
        <f>結核!A15</f>
        <v>2025</v>
      </c>
      <c r="D8" s="7">
        <f>結核!B15</f>
        <v>9899</v>
      </c>
      <c r="E8" s="8">
        <f>結核!B14</f>
        <v>10051</v>
      </c>
      <c r="F8" s="9">
        <f>D8/E8-1</f>
        <v>-1.5122873345935761E-2</v>
      </c>
      <c r="G8" s="6">
        <f>結核!A6</f>
        <v>2016</v>
      </c>
      <c r="H8" s="8">
        <f>結核!B6</f>
        <v>17625</v>
      </c>
      <c r="I8" s="10">
        <f>D8/H8</f>
        <v>0.56164539007092196</v>
      </c>
      <c r="J8" s="11" t="s">
        <v>37</v>
      </c>
      <c r="K8" s="3" t="str">
        <f>結核!B20</f>
        <v>2026年1月〜10月11日（第41週まで）</v>
      </c>
      <c r="L8" s="12">
        <f>結核!C20</f>
        <v>11543</v>
      </c>
      <c r="M8" s="12">
        <f>結核!D20</f>
        <v>11145</v>
      </c>
      <c r="N8" s="13">
        <f>L8/M8-1</f>
        <v>3.5711081202332906E-2</v>
      </c>
    </row>
    <row r="10" spans="1:14" ht="18" customHeight="1" x14ac:dyDescent="0.2">
      <c r="A10" s="38" t="s">
        <v>43</v>
      </c>
      <c r="B10" s="39"/>
      <c r="C10" s="39"/>
      <c r="D10" s="39"/>
      <c r="E10" s="39"/>
      <c r="F10" s="39"/>
      <c r="G10" s="39"/>
      <c r="H10" s="39"/>
      <c r="I10" s="39"/>
      <c r="J10" s="39"/>
      <c r="K10" s="39"/>
      <c r="L10" s="39"/>
      <c r="M10" s="39"/>
      <c r="N10" s="39"/>
    </row>
    <row r="11" spans="1:14" ht="18" customHeight="1" x14ac:dyDescent="0.2">
      <c r="A11" s="38" t="s">
        <v>44</v>
      </c>
      <c r="B11" s="39"/>
      <c r="C11" s="39"/>
      <c r="D11" s="39"/>
      <c r="E11" s="39"/>
      <c r="F11" s="39"/>
      <c r="G11" s="39"/>
      <c r="H11" s="39"/>
      <c r="I11" s="39"/>
      <c r="J11" s="39"/>
      <c r="K11" s="39"/>
      <c r="L11" s="39"/>
      <c r="M11" s="39"/>
      <c r="N11" s="39"/>
    </row>
    <row r="12" spans="1:14" ht="18" customHeight="1" x14ac:dyDescent="0.2">
      <c r="A12" s="38" t="s">
        <v>45</v>
      </c>
      <c r="B12" s="39"/>
      <c r="C12" s="39"/>
      <c r="D12" s="39"/>
      <c r="E12" s="39"/>
      <c r="F12" s="39"/>
      <c r="G12" s="39"/>
      <c r="H12" s="39"/>
      <c r="I12" s="39"/>
      <c r="J12" s="39"/>
      <c r="K12" s="39"/>
      <c r="L12" s="39"/>
      <c r="M12" s="39"/>
      <c r="N12" s="39"/>
    </row>
    <row r="13" spans="1:14" ht="18" customHeight="1" x14ac:dyDescent="0.2">
      <c r="A13" s="38" t="s">
        <v>46</v>
      </c>
      <c r="B13" s="39"/>
      <c r="C13" s="39"/>
      <c r="D13" s="39"/>
      <c r="E13" s="39"/>
      <c r="F13" s="39"/>
      <c r="G13" s="39"/>
      <c r="H13" s="39"/>
      <c r="I13" s="39"/>
      <c r="J13" s="39"/>
      <c r="K13" s="39"/>
      <c r="L13" s="39"/>
      <c r="M13" s="39"/>
      <c r="N13" s="39"/>
    </row>
  </sheetData>
  <mergeCells count="5">
    <mergeCell ref="A12:N12"/>
    <mergeCell ref="A2:N2"/>
    <mergeCell ref="A11:N11"/>
    <mergeCell ref="A10:N10"/>
    <mergeCell ref="A13:N13"/>
  </mergeCells>
  <phoneticPr fontId="8"/>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73"/>
  <sheetViews>
    <sheetView showGridLines="0" workbookViewId="0">
      <pane ySplit="4" topLeftCell="A5" activePane="bottomLeft" state="frozen"/>
      <selection pane="bottomLeft"/>
    </sheetView>
  </sheetViews>
  <sheetFormatPr defaultRowHeight="13.2" x14ac:dyDescent="0.2"/>
  <cols>
    <col min="1" max="1" width="16" customWidth="1"/>
    <col min="2" max="2" width="13" customWidth="1"/>
    <col min="3" max="3" width="11" customWidth="1"/>
    <col min="4" max="4" width="76" customWidth="1"/>
    <col min="5" max="5" width="11" customWidth="1"/>
  </cols>
  <sheetData>
    <row r="1" spans="1:5" ht="25.95" customHeight="1" x14ac:dyDescent="0.6">
      <c r="A1" s="1" t="s">
        <v>47</v>
      </c>
    </row>
    <row r="2" spans="1:5" ht="31.95" customHeight="1" x14ac:dyDescent="0.2">
      <c r="A2" s="38" t="s">
        <v>48</v>
      </c>
      <c r="B2" s="39"/>
      <c r="C2" s="39"/>
      <c r="D2" s="39"/>
      <c r="E2" s="39"/>
    </row>
    <row r="4" spans="1:5" ht="22.05" customHeight="1" x14ac:dyDescent="0.5">
      <c r="A4" s="14" t="s">
        <v>49</v>
      </c>
    </row>
    <row r="5" spans="1:5" ht="30" customHeight="1" x14ac:dyDescent="0.2">
      <c r="A5" s="4" t="s">
        <v>21</v>
      </c>
      <c r="B5" s="4" t="s">
        <v>50</v>
      </c>
      <c r="C5" s="4" t="s">
        <v>51</v>
      </c>
      <c r="D5" s="4" t="s">
        <v>3</v>
      </c>
      <c r="E5" s="4" t="s">
        <v>52</v>
      </c>
    </row>
    <row r="6" spans="1:5" ht="31.95" customHeight="1" x14ac:dyDescent="0.2">
      <c r="A6" s="2" t="s">
        <v>35</v>
      </c>
      <c r="B6" s="15" t="s">
        <v>53</v>
      </c>
      <c r="C6" s="16" t="s">
        <v>54</v>
      </c>
      <c r="D6" s="3" t="s">
        <v>55</v>
      </c>
      <c r="E6" s="15" t="s">
        <v>56</v>
      </c>
    </row>
    <row r="7" spans="1:5" ht="31.95" customHeight="1" x14ac:dyDescent="0.2">
      <c r="A7" s="2" t="s">
        <v>35</v>
      </c>
      <c r="B7" s="15" t="s">
        <v>57</v>
      </c>
      <c r="C7" s="17" t="s">
        <v>58</v>
      </c>
      <c r="D7" s="3" t="s">
        <v>59</v>
      </c>
      <c r="E7" s="15" t="s">
        <v>60</v>
      </c>
    </row>
    <row r="8" spans="1:5" ht="31.95" customHeight="1" x14ac:dyDescent="0.2">
      <c r="A8" s="2" t="s">
        <v>35</v>
      </c>
      <c r="B8" s="15" t="s">
        <v>61</v>
      </c>
      <c r="C8" s="16" t="s">
        <v>54</v>
      </c>
      <c r="D8" s="3" t="s">
        <v>62</v>
      </c>
      <c r="E8" s="15" t="s">
        <v>63</v>
      </c>
    </row>
    <row r="9" spans="1:5" ht="31.95" customHeight="1" x14ac:dyDescent="0.2">
      <c r="A9" s="2" t="s">
        <v>38</v>
      </c>
      <c r="B9" s="15" t="s">
        <v>53</v>
      </c>
      <c r="C9" s="16" t="s">
        <v>54</v>
      </c>
      <c r="D9" s="3" t="s">
        <v>64</v>
      </c>
      <c r="E9" s="15" t="s">
        <v>65</v>
      </c>
    </row>
    <row r="10" spans="1:5" ht="31.95" customHeight="1" x14ac:dyDescent="0.2">
      <c r="A10" s="2" t="s">
        <v>38</v>
      </c>
      <c r="B10" s="15" t="s">
        <v>57</v>
      </c>
      <c r="C10" s="17" t="s">
        <v>58</v>
      </c>
      <c r="D10" s="3" t="s">
        <v>66</v>
      </c>
      <c r="E10" s="15" t="s">
        <v>65</v>
      </c>
    </row>
    <row r="11" spans="1:5" ht="18" customHeight="1" x14ac:dyDescent="0.2">
      <c r="A11" s="2" t="s">
        <v>38</v>
      </c>
      <c r="B11" s="15" t="s">
        <v>61</v>
      </c>
      <c r="C11" s="17" t="s">
        <v>58</v>
      </c>
      <c r="D11" s="3" t="s">
        <v>67</v>
      </c>
      <c r="E11" s="15" t="s">
        <v>68</v>
      </c>
    </row>
    <row r="12" spans="1:5" ht="31.95" customHeight="1" x14ac:dyDescent="0.2">
      <c r="A12" s="2" t="s">
        <v>40</v>
      </c>
      <c r="B12" s="15" t="s">
        <v>53</v>
      </c>
      <c r="C12" s="17" t="s">
        <v>58</v>
      </c>
      <c r="D12" s="3" t="s">
        <v>69</v>
      </c>
      <c r="E12" s="15" t="s">
        <v>70</v>
      </c>
    </row>
    <row r="13" spans="1:5" ht="31.95" customHeight="1" x14ac:dyDescent="0.2">
      <c r="A13" s="2" t="s">
        <v>40</v>
      </c>
      <c r="B13" s="15" t="s">
        <v>57</v>
      </c>
      <c r="C13" s="16" t="s">
        <v>54</v>
      </c>
      <c r="D13" s="3" t="s">
        <v>71</v>
      </c>
      <c r="E13" s="15" t="s">
        <v>72</v>
      </c>
    </row>
    <row r="14" spans="1:5" ht="18" customHeight="1" x14ac:dyDescent="0.2">
      <c r="A14" s="2" t="s">
        <v>40</v>
      </c>
      <c r="B14" s="15" t="s">
        <v>61</v>
      </c>
      <c r="C14" s="17" t="s">
        <v>58</v>
      </c>
      <c r="D14" s="3" t="s">
        <v>67</v>
      </c>
      <c r="E14" s="15" t="s">
        <v>68</v>
      </c>
    </row>
    <row r="15" spans="1:5" ht="31.95" customHeight="1" x14ac:dyDescent="0.2">
      <c r="A15" s="2" t="s">
        <v>41</v>
      </c>
      <c r="B15" s="15" t="s">
        <v>53</v>
      </c>
      <c r="C15" s="16" t="s">
        <v>54</v>
      </c>
      <c r="D15" s="3" t="s">
        <v>73</v>
      </c>
      <c r="E15" s="15" t="s">
        <v>68</v>
      </c>
    </row>
    <row r="16" spans="1:5" ht="18" customHeight="1" x14ac:dyDescent="0.2">
      <c r="A16" s="2" t="s">
        <v>41</v>
      </c>
      <c r="B16" s="15" t="s">
        <v>57</v>
      </c>
      <c r="C16" s="16" t="s">
        <v>54</v>
      </c>
      <c r="D16" s="3" t="s">
        <v>74</v>
      </c>
      <c r="E16" s="15" t="s">
        <v>72</v>
      </c>
    </row>
    <row r="17" spans="1:5" ht="31.95" customHeight="1" x14ac:dyDescent="0.2">
      <c r="A17" s="2" t="s">
        <v>41</v>
      </c>
      <c r="B17" s="15" t="s">
        <v>61</v>
      </c>
      <c r="C17" s="16" t="s">
        <v>54</v>
      </c>
      <c r="D17" s="3" t="s">
        <v>75</v>
      </c>
      <c r="E17" s="15" t="s">
        <v>76</v>
      </c>
    </row>
    <row r="18" spans="1:5" ht="18" customHeight="1" x14ac:dyDescent="0.2">
      <c r="A18" s="38" t="s">
        <v>77</v>
      </c>
      <c r="B18" s="39"/>
      <c r="C18" s="39"/>
      <c r="D18" s="39"/>
      <c r="E18" s="39"/>
    </row>
    <row r="20" spans="1:5" ht="22.05" customHeight="1" x14ac:dyDescent="0.5">
      <c r="A20" s="14" t="s">
        <v>78</v>
      </c>
    </row>
    <row r="21" spans="1:5" ht="31.95" customHeight="1" x14ac:dyDescent="0.2">
      <c r="A21" s="40" t="s">
        <v>79</v>
      </c>
      <c r="B21" s="39"/>
      <c r="C21" s="39"/>
      <c r="D21" s="39"/>
      <c r="E21" s="39"/>
    </row>
    <row r="22" spans="1:5" ht="31.95" customHeight="1" x14ac:dyDescent="0.2">
      <c r="A22" s="40" t="s">
        <v>80</v>
      </c>
      <c r="B22" s="39"/>
      <c r="C22" s="39"/>
      <c r="D22" s="39"/>
      <c r="E22" s="39"/>
    </row>
    <row r="24" spans="1:5" ht="22.05" customHeight="1" x14ac:dyDescent="0.5">
      <c r="A24" s="14" t="s">
        <v>35</v>
      </c>
    </row>
    <row r="25" spans="1:5" ht="18" customHeight="1" x14ac:dyDescent="0.2">
      <c r="A25" s="40" t="s">
        <v>81</v>
      </c>
      <c r="B25" s="39"/>
      <c r="C25" s="39"/>
      <c r="D25" s="39"/>
      <c r="E25" s="39"/>
    </row>
    <row r="26" spans="1:5" ht="31.95" customHeight="1" x14ac:dyDescent="0.2">
      <c r="A26" s="40" t="s">
        <v>82</v>
      </c>
      <c r="B26" s="39"/>
      <c r="C26" s="39"/>
      <c r="D26" s="39"/>
      <c r="E26" s="39"/>
    </row>
    <row r="27" spans="1:5" ht="31.95" customHeight="1" x14ac:dyDescent="0.2">
      <c r="A27" s="40" t="s">
        <v>83</v>
      </c>
      <c r="B27" s="39"/>
      <c r="C27" s="39"/>
      <c r="D27" s="39"/>
      <c r="E27" s="39"/>
    </row>
    <row r="28" spans="1:5" ht="18" customHeight="1" x14ac:dyDescent="0.2">
      <c r="A28" s="40" t="s">
        <v>84</v>
      </c>
      <c r="B28" s="39"/>
      <c r="C28" s="39"/>
      <c r="D28" s="39"/>
      <c r="E28" s="39"/>
    </row>
    <row r="29" spans="1:5" ht="31.95" customHeight="1" x14ac:dyDescent="0.2">
      <c r="A29" s="40" t="s">
        <v>85</v>
      </c>
      <c r="B29" s="39"/>
      <c r="C29" s="39"/>
      <c r="D29" s="39"/>
      <c r="E29" s="39"/>
    </row>
    <row r="30" spans="1:5" ht="18" customHeight="1" x14ac:dyDescent="0.2">
      <c r="A30" s="40" t="s">
        <v>86</v>
      </c>
      <c r="B30" s="39"/>
      <c r="C30" s="39"/>
      <c r="D30" s="39"/>
      <c r="E30" s="39"/>
    </row>
    <row r="31" spans="1:5" ht="31.95" customHeight="1" x14ac:dyDescent="0.2">
      <c r="A31" s="40" t="s">
        <v>87</v>
      </c>
      <c r="B31" s="39"/>
      <c r="C31" s="39"/>
      <c r="D31" s="39"/>
      <c r="E31" s="39"/>
    </row>
    <row r="33" spans="1:5" ht="18" x14ac:dyDescent="0.45">
      <c r="A33" s="19" t="s">
        <v>88</v>
      </c>
    </row>
    <row r="34" spans="1:5" ht="18" x14ac:dyDescent="0.2">
      <c r="A34" s="42" t="s">
        <v>89</v>
      </c>
      <c r="B34" s="39"/>
      <c r="C34" s="39"/>
      <c r="D34" s="4" t="s">
        <v>90</v>
      </c>
      <c r="E34" s="4" t="s">
        <v>52</v>
      </c>
    </row>
    <row r="35" spans="1:5" ht="18" customHeight="1" x14ac:dyDescent="0.45">
      <c r="A35" s="41" t="s">
        <v>91</v>
      </c>
      <c r="B35" s="39"/>
      <c r="C35" s="39"/>
      <c r="D35" s="20">
        <v>0</v>
      </c>
      <c r="E35" s="21" t="s">
        <v>63</v>
      </c>
    </row>
    <row r="36" spans="1:5" ht="30" customHeight="1" x14ac:dyDescent="0.45">
      <c r="A36" s="41" t="s">
        <v>92</v>
      </c>
      <c r="B36" s="39"/>
      <c r="C36" s="39"/>
      <c r="D36" s="20">
        <v>2500</v>
      </c>
      <c r="E36" s="21" t="s">
        <v>63</v>
      </c>
    </row>
    <row r="37" spans="1:5" ht="18" customHeight="1" x14ac:dyDescent="0.45">
      <c r="A37" s="41" t="s">
        <v>93</v>
      </c>
      <c r="B37" s="39"/>
      <c r="C37" s="39"/>
      <c r="D37" s="20">
        <v>5000</v>
      </c>
      <c r="E37" s="21" t="s">
        <v>63</v>
      </c>
    </row>
    <row r="38" spans="1:5" ht="30" customHeight="1" x14ac:dyDescent="0.45">
      <c r="A38" s="41" t="s">
        <v>94</v>
      </c>
      <c r="B38" s="39"/>
      <c r="C38" s="39"/>
      <c r="D38" s="20">
        <v>5000</v>
      </c>
      <c r="E38" s="21" t="s">
        <v>63</v>
      </c>
    </row>
    <row r="39" spans="1:5" ht="30" customHeight="1" x14ac:dyDescent="0.45">
      <c r="A39" s="41" t="s">
        <v>95</v>
      </c>
      <c r="B39" s="39"/>
      <c r="C39" s="39"/>
      <c r="D39" s="20">
        <v>10000</v>
      </c>
      <c r="E39" s="21" t="s">
        <v>63</v>
      </c>
    </row>
    <row r="40" spans="1:5" ht="30" customHeight="1" x14ac:dyDescent="0.45">
      <c r="A40" s="41" t="s">
        <v>96</v>
      </c>
      <c r="B40" s="39"/>
      <c r="C40" s="39"/>
      <c r="D40" s="20">
        <v>20000</v>
      </c>
      <c r="E40" s="21" t="s">
        <v>63</v>
      </c>
    </row>
    <row r="41" spans="1:5" ht="31.95" customHeight="1" x14ac:dyDescent="0.2">
      <c r="A41" s="38" t="s">
        <v>97</v>
      </c>
      <c r="B41" s="39"/>
      <c r="C41" s="39"/>
      <c r="D41" s="39"/>
      <c r="E41" s="39"/>
    </row>
    <row r="43" spans="1:5" ht="22.05" customHeight="1" x14ac:dyDescent="0.5">
      <c r="A43" s="14" t="s">
        <v>38</v>
      </c>
    </row>
    <row r="44" spans="1:5" ht="18" customHeight="1" x14ac:dyDescent="0.2">
      <c r="A44" s="40" t="s">
        <v>98</v>
      </c>
      <c r="B44" s="39"/>
      <c r="C44" s="39"/>
      <c r="D44" s="39"/>
      <c r="E44" s="39"/>
    </row>
    <row r="45" spans="1:5" ht="31.95" customHeight="1" x14ac:dyDescent="0.2">
      <c r="A45" s="40" t="s">
        <v>99</v>
      </c>
      <c r="B45" s="39"/>
      <c r="C45" s="39"/>
      <c r="D45" s="39"/>
      <c r="E45" s="39"/>
    </row>
    <row r="46" spans="1:5" ht="18" customHeight="1" x14ac:dyDescent="0.2">
      <c r="A46" s="40" t="s">
        <v>100</v>
      </c>
      <c r="B46" s="39"/>
      <c r="C46" s="39"/>
      <c r="D46" s="39"/>
      <c r="E46" s="39"/>
    </row>
    <row r="47" spans="1:5" ht="18" customHeight="1" x14ac:dyDescent="0.2">
      <c r="A47" s="40" t="s">
        <v>101</v>
      </c>
      <c r="B47" s="39"/>
      <c r="C47" s="39"/>
      <c r="D47" s="39"/>
      <c r="E47" s="39"/>
    </row>
    <row r="49" spans="1:5" ht="22.05" customHeight="1" x14ac:dyDescent="0.5">
      <c r="A49" s="14" t="s">
        <v>40</v>
      </c>
    </row>
    <row r="50" spans="1:5" ht="18" customHeight="1" x14ac:dyDescent="0.2">
      <c r="A50" s="40" t="s">
        <v>102</v>
      </c>
      <c r="B50" s="39"/>
      <c r="C50" s="39"/>
      <c r="D50" s="39"/>
      <c r="E50" s="39"/>
    </row>
    <row r="51" spans="1:5" ht="18" customHeight="1" x14ac:dyDescent="0.2">
      <c r="A51" s="40" t="s">
        <v>103</v>
      </c>
      <c r="B51" s="39"/>
      <c r="C51" s="39"/>
      <c r="D51" s="39"/>
      <c r="E51" s="39"/>
    </row>
    <row r="52" spans="1:5" ht="18" customHeight="1" x14ac:dyDescent="0.2">
      <c r="A52" s="40" t="s">
        <v>104</v>
      </c>
      <c r="B52" s="39"/>
      <c r="C52" s="39"/>
      <c r="D52" s="39"/>
      <c r="E52" s="39"/>
    </row>
    <row r="53" spans="1:5" ht="31.95" customHeight="1" x14ac:dyDescent="0.2">
      <c r="A53" s="40" t="s">
        <v>105</v>
      </c>
      <c r="B53" s="39"/>
      <c r="C53" s="39"/>
      <c r="D53" s="39"/>
      <c r="E53" s="39"/>
    </row>
    <row r="54" spans="1:5" ht="31.95" customHeight="1" x14ac:dyDescent="0.2">
      <c r="A54" s="40" t="s">
        <v>106</v>
      </c>
      <c r="B54" s="39"/>
      <c r="C54" s="39"/>
      <c r="D54" s="39"/>
      <c r="E54" s="39"/>
    </row>
    <row r="55" spans="1:5" ht="31.95" customHeight="1" x14ac:dyDescent="0.2">
      <c r="A55" s="40" t="s">
        <v>107</v>
      </c>
      <c r="B55" s="39"/>
      <c r="C55" s="39"/>
      <c r="D55" s="39"/>
      <c r="E55" s="39"/>
    </row>
    <row r="56" spans="1:5" ht="18" customHeight="1" x14ac:dyDescent="0.2">
      <c r="A56" s="40" t="s">
        <v>108</v>
      </c>
      <c r="B56" s="39"/>
      <c r="C56" s="39"/>
      <c r="D56" s="39"/>
      <c r="E56" s="39"/>
    </row>
    <row r="58" spans="1:5" ht="22.05" customHeight="1" x14ac:dyDescent="0.5">
      <c r="A58" s="14" t="s">
        <v>41</v>
      </c>
    </row>
    <row r="59" spans="1:5" ht="31.95" customHeight="1" x14ac:dyDescent="0.2">
      <c r="A59" s="40" t="s">
        <v>109</v>
      </c>
      <c r="B59" s="39"/>
      <c r="C59" s="39"/>
      <c r="D59" s="39"/>
      <c r="E59" s="39"/>
    </row>
    <row r="60" spans="1:5" ht="18" customHeight="1" x14ac:dyDescent="0.2">
      <c r="A60" s="40" t="s">
        <v>110</v>
      </c>
      <c r="B60" s="39"/>
      <c r="C60" s="39"/>
      <c r="D60" s="39"/>
      <c r="E60" s="39"/>
    </row>
    <row r="61" spans="1:5" ht="31.95" customHeight="1" x14ac:dyDescent="0.2">
      <c r="A61" s="40" t="s">
        <v>111</v>
      </c>
      <c r="B61" s="39"/>
      <c r="C61" s="39"/>
      <c r="D61" s="39"/>
      <c r="E61" s="39"/>
    </row>
    <row r="62" spans="1:5" ht="18" customHeight="1" x14ac:dyDescent="0.2">
      <c r="A62" s="40" t="s">
        <v>112</v>
      </c>
      <c r="B62" s="39"/>
      <c r="C62" s="39"/>
      <c r="D62" s="39"/>
      <c r="E62" s="39"/>
    </row>
    <row r="63" spans="1:5" ht="18" customHeight="1" x14ac:dyDescent="0.2">
      <c r="A63" s="40" t="s">
        <v>113</v>
      </c>
      <c r="B63" s="39"/>
      <c r="C63" s="39"/>
      <c r="D63" s="39"/>
      <c r="E63" s="39"/>
    </row>
    <row r="64" spans="1:5" ht="18" customHeight="1" x14ac:dyDescent="0.2">
      <c r="A64" s="40" t="s">
        <v>114</v>
      </c>
      <c r="B64" s="39"/>
      <c r="C64" s="39"/>
      <c r="D64" s="39"/>
      <c r="E64" s="39"/>
    </row>
    <row r="65" spans="1:5" ht="18" customHeight="1" x14ac:dyDescent="0.2">
      <c r="A65" s="40" t="s">
        <v>115</v>
      </c>
      <c r="B65" s="39"/>
      <c r="C65" s="39"/>
      <c r="D65" s="39"/>
      <c r="E65" s="39"/>
    </row>
    <row r="66" spans="1:5" ht="31.95" customHeight="1" x14ac:dyDescent="0.2">
      <c r="A66" s="40" t="s">
        <v>116</v>
      </c>
      <c r="B66" s="39"/>
      <c r="C66" s="39"/>
      <c r="D66" s="39"/>
      <c r="E66" s="39"/>
    </row>
    <row r="68" spans="1:5" ht="22.05" customHeight="1" x14ac:dyDescent="0.5">
      <c r="A68" s="14" t="s">
        <v>117</v>
      </c>
    </row>
    <row r="69" spans="1:5" ht="18" customHeight="1" x14ac:dyDescent="0.2">
      <c r="A69" s="40" t="s">
        <v>118</v>
      </c>
      <c r="B69" s="39"/>
      <c r="C69" s="39"/>
      <c r="D69" s="39"/>
      <c r="E69" s="39"/>
    </row>
    <row r="70" spans="1:5" ht="18" customHeight="1" x14ac:dyDescent="0.2">
      <c r="A70" s="40" t="s">
        <v>119</v>
      </c>
      <c r="B70" s="39"/>
      <c r="C70" s="39"/>
      <c r="D70" s="39"/>
      <c r="E70" s="39"/>
    </row>
    <row r="71" spans="1:5" ht="18" customHeight="1" x14ac:dyDescent="0.2">
      <c r="A71" s="40" t="s">
        <v>120</v>
      </c>
      <c r="B71" s="39"/>
      <c r="C71" s="39"/>
      <c r="D71" s="39"/>
      <c r="E71" s="39"/>
    </row>
    <row r="72" spans="1:5" ht="18" customHeight="1" x14ac:dyDescent="0.2">
      <c r="A72" s="40" t="s">
        <v>121</v>
      </c>
      <c r="B72" s="39"/>
      <c r="C72" s="39"/>
      <c r="D72" s="39"/>
      <c r="E72" s="39"/>
    </row>
    <row r="73" spans="1:5" ht="18" customHeight="1" x14ac:dyDescent="0.2">
      <c r="A73" s="40" t="s">
        <v>122</v>
      </c>
      <c r="B73" s="39"/>
      <c r="C73" s="39"/>
      <c r="D73" s="39"/>
      <c r="E73" s="39"/>
    </row>
  </sheetData>
  <autoFilter ref="A5:E17" xr:uid="{00000000-0009-0000-0000-000002000000}"/>
  <mergeCells count="43">
    <mergeCell ref="A2:E2"/>
    <mergeCell ref="A71:E71"/>
    <mergeCell ref="A40:C40"/>
    <mergeCell ref="A47:E47"/>
    <mergeCell ref="A39:C39"/>
    <mergeCell ref="A34:C34"/>
    <mergeCell ref="A22:E22"/>
    <mergeCell ref="A53:E53"/>
    <mergeCell ref="A29:E29"/>
    <mergeCell ref="A36:C36"/>
    <mergeCell ref="A62:E62"/>
    <mergeCell ref="A52:E52"/>
    <mergeCell ref="A28:E28"/>
    <mergeCell ref="A63:E63"/>
    <mergeCell ref="A31:E31"/>
    <mergeCell ref="A44:E44"/>
    <mergeCell ref="A18:E18"/>
    <mergeCell ref="A27:E27"/>
    <mergeCell ref="A56:E56"/>
    <mergeCell ref="A21:E21"/>
    <mergeCell ref="A55:E55"/>
    <mergeCell ref="A50:E50"/>
    <mergeCell ref="A26:E26"/>
    <mergeCell ref="A25:E25"/>
    <mergeCell ref="A41:E41"/>
    <mergeCell ref="A46:E46"/>
    <mergeCell ref="A66:E66"/>
    <mergeCell ref="A35:C35"/>
    <mergeCell ref="A38:C38"/>
    <mergeCell ref="A30:E30"/>
    <mergeCell ref="A59:E59"/>
    <mergeCell ref="A73:E73"/>
    <mergeCell ref="A37:C37"/>
    <mergeCell ref="A64:E64"/>
    <mergeCell ref="A60:E60"/>
    <mergeCell ref="A51:E51"/>
    <mergeCell ref="A45:E45"/>
    <mergeCell ref="A61:E61"/>
    <mergeCell ref="A70:E70"/>
    <mergeCell ref="A69:E69"/>
    <mergeCell ref="A65:E65"/>
    <mergeCell ref="A54:E54"/>
    <mergeCell ref="A72:E72"/>
  </mergeCells>
  <phoneticPr fontId="8"/>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145"/>
  <sheetViews>
    <sheetView showGridLines="0" workbookViewId="0"/>
  </sheetViews>
  <sheetFormatPr defaultRowHeight="13.2" x14ac:dyDescent="0.2"/>
  <cols>
    <col min="1" max="1" width="40" customWidth="1"/>
    <col min="2" max="11" width="15" customWidth="1"/>
  </cols>
  <sheetData>
    <row r="1" spans="1:9" ht="25.95" customHeight="1" x14ac:dyDescent="0.6">
      <c r="A1" s="1" t="s">
        <v>35</v>
      </c>
    </row>
    <row r="2" spans="1:9" ht="64.05" customHeight="1" x14ac:dyDescent="0.2">
      <c r="A2" s="38" t="s">
        <v>123</v>
      </c>
      <c r="B2" s="39"/>
      <c r="C2" s="39"/>
      <c r="D2" s="39"/>
      <c r="E2" s="39"/>
      <c r="F2" s="39"/>
      <c r="G2" s="39"/>
      <c r="H2" s="39"/>
      <c r="I2" s="39"/>
    </row>
    <row r="4" spans="1:9" ht="22.05" customHeight="1" x14ac:dyDescent="0.5">
      <c r="A4" s="14" t="s">
        <v>124</v>
      </c>
    </row>
    <row r="5" spans="1:9" ht="30" customHeight="1" x14ac:dyDescent="0.2">
      <c r="A5" s="4" t="s">
        <v>125</v>
      </c>
      <c r="B5" s="4" t="s">
        <v>126</v>
      </c>
      <c r="C5" s="4" t="s">
        <v>127</v>
      </c>
      <c r="D5" s="4" t="s">
        <v>128</v>
      </c>
      <c r="E5" s="4" t="s">
        <v>129</v>
      </c>
      <c r="F5" s="4" t="s">
        <v>130</v>
      </c>
      <c r="G5" s="4" t="s">
        <v>52</v>
      </c>
    </row>
    <row r="6" spans="1:9" ht="18" x14ac:dyDescent="0.45">
      <c r="A6" s="22">
        <v>2016</v>
      </c>
      <c r="B6" s="8">
        <v>1011</v>
      </c>
      <c r="C6" s="8">
        <v>437</v>
      </c>
      <c r="D6" s="8">
        <f t="shared" ref="D6:D15" si="0">B6+C6</f>
        <v>1448</v>
      </c>
      <c r="E6" s="23" t="s">
        <v>37</v>
      </c>
      <c r="F6" s="24" t="s">
        <v>131</v>
      </c>
      <c r="G6" s="21" t="s">
        <v>132</v>
      </c>
    </row>
    <row r="7" spans="1:9" ht="18" x14ac:dyDescent="0.45">
      <c r="A7" s="22">
        <v>2017</v>
      </c>
      <c r="B7" s="8">
        <v>976</v>
      </c>
      <c r="C7" s="8">
        <v>413</v>
      </c>
      <c r="D7" s="8">
        <f t="shared" si="0"/>
        <v>1389</v>
      </c>
      <c r="E7" s="23">
        <f t="shared" ref="E7:E15" si="1">IF(D6="","",D7/D6-1)</f>
        <v>-4.0745856353591181E-2</v>
      </c>
      <c r="F7" s="24" t="s">
        <v>131</v>
      </c>
      <c r="G7" s="21" t="s">
        <v>132</v>
      </c>
    </row>
    <row r="8" spans="1:9" ht="18" x14ac:dyDescent="0.45">
      <c r="A8" s="22">
        <v>2018</v>
      </c>
      <c r="B8" s="8">
        <v>940</v>
      </c>
      <c r="C8" s="8">
        <v>377</v>
      </c>
      <c r="D8" s="8">
        <f t="shared" si="0"/>
        <v>1317</v>
      </c>
      <c r="E8" s="23">
        <f t="shared" si="1"/>
        <v>-5.1835853131749432E-2</v>
      </c>
      <c r="F8" s="24" t="s">
        <v>131</v>
      </c>
      <c r="G8" s="21" t="s">
        <v>132</v>
      </c>
    </row>
    <row r="9" spans="1:9" ht="18" x14ac:dyDescent="0.45">
      <c r="A9" s="22">
        <v>2019</v>
      </c>
      <c r="B9" s="8">
        <v>903</v>
      </c>
      <c r="C9" s="8">
        <v>333</v>
      </c>
      <c r="D9" s="8">
        <f t="shared" si="0"/>
        <v>1236</v>
      </c>
      <c r="E9" s="23">
        <f t="shared" si="1"/>
        <v>-6.1503416856492077E-2</v>
      </c>
      <c r="F9" s="24" t="s">
        <v>131</v>
      </c>
      <c r="G9" s="21" t="s">
        <v>132</v>
      </c>
    </row>
    <row r="10" spans="1:9" ht="18" x14ac:dyDescent="0.45">
      <c r="A10" s="22">
        <v>2020</v>
      </c>
      <c r="B10" s="8">
        <v>750</v>
      </c>
      <c r="C10" s="8">
        <v>345</v>
      </c>
      <c r="D10" s="8">
        <f t="shared" si="0"/>
        <v>1095</v>
      </c>
      <c r="E10" s="23">
        <f t="shared" si="1"/>
        <v>-0.11407766990291257</v>
      </c>
      <c r="F10" s="24" t="s">
        <v>131</v>
      </c>
      <c r="G10" s="21" t="s">
        <v>132</v>
      </c>
    </row>
    <row r="11" spans="1:9" ht="18" x14ac:dyDescent="0.45">
      <c r="A11" s="22">
        <v>2021</v>
      </c>
      <c r="B11" s="8">
        <v>742</v>
      </c>
      <c r="C11" s="8">
        <v>315</v>
      </c>
      <c r="D11" s="8">
        <f t="shared" si="0"/>
        <v>1057</v>
      </c>
      <c r="E11" s="23">
        <f t="shared" si="1"/>
        <v>-3.4703196347032006E-2</v>
      </c>
      <c r="F11" s="24" t="s">
        <v>131</v>
      </c>
      <c r="G11" s="21" t="s">
        <v>132</v>
      </c>
    </row>
    <row r="12" spans="1:9" ht="18" x14ac:dyDescent="0.45">
      <c r="A12" s="22">
        <v>2022</v>
      </c>
      <c r="B12" s="8">
        <v>632</v>
      </c>
      <c r="C12" s="8">
        <v>252</v>
      </c>
      <c r="D12" s="8">
        <f t="shared" si="0"/>
        <v>884</v>
      </c>
      <c r="E12" s="23">
        <f t="shared" si="1"/>
        <v>-0.16367076631977295</v>
      </c>
      <c r="F12" s="24" t="s">
        <v>131</v>
      </c>
      <c r="G12" s="21" t="s">
        <v>132</v>
      </c>
    </row>
    <row r="13" spans="1:9" ht="18" x14ac:dyDescent="0.45">
      <c r="A13" s="22">
        <v>2023</v>
      </c>
      <c r="B13" s="8">
        <v>669</v>
      </c>
      <c r="C13" s="8">
        <v>291</v>
      </c>
      <c r="D13" s="8">
        <f t="shared" si="0"/>
        <v>960</v>
      </c>
      <c r="E13" s="23">
        <f t="shared" si="1"/>
        <v>8.5972850678732948E-2</v>
      </c>
      <c r="F13" s="24" t="s">
        <v>131</v>
      </c>
      <c r="G13" s="21" t="s">
        <v>132</v>
      </c>
    </row>
    <row r="14" spans="1:9" ht="18" x14ac:dyDescent="0.45">
      <c r="A14" s="22">
        <v>2024</v>
      </c>
      <c r="B14" s="8">
        <v>662</v>
      </c>
      <c r="C14" s="8">
        <v>332</v>
      </c>
      <c r="D14" s="8">
        <f t="shared" si="0"/>
        <v>994</v>
      </c>
      <c r="E14" s="23">
        <f t="shared" si="1"/>
        <v>3.5416666666666652E-2</v>
      </c>
      <c r="F14" s="24" t="s">
        <v>131</v>
      </c>
      <c r="G14" s="21" t="s">
        <v>132</v>
      </c>
    </row>
    <row r="15" spans="1:9" ht="18" x14ac:dyDescent="0.45">
      <c r="A15" s="22">
        <v>2025</v>
      </c>
      <c r="B15" s="8">
        <v>624</v>
      </c>
      <c r="C15" s="8">
        <v>266</v>
      </c>
      <c r="D15" s="8">
        <f t="shared" si="0"/>
        <v>890</v>
      </c>
      <c r="E15" s="23">
        <f t="shared" si="1"/>
        <v>-0.1046277665995976</v>
      </c>
      <c r="F15" s="24" t="s">
        <v>131</v>
      </c>
      <c r="G15" s="21" t="s">
        <v>132</v>
      </c>
    </row>
    <row r="16" spans="1:9" ht="18" customHeight="1" x14ac:dyDescent="0.2">
      <c r="A16" s="38" t="s">
        <v>133</v>
      </c>
      <c r="B16" s="39"/>
      <c r="C16" s="39"/>
      <c r="D16" s="39"/>
      <c r="E16" s="39"/>
      <c r="F16" s="39"/>
      <c r="G16" s="39"/>
      <c r="H16" s="39"/>
      <c r="I16" s="39"/>
    </row>
    <row r="18" spans="1:9" ht="22.05" customHeight="1" x14ac:dyDescent="0.5">
      <c r="A18" s="14" t="s">
        <v>134</v>
      </c>
    </row>
    <row r="19" spans="1:9" ht="30" customHeight="1" x14ac:dyDescent="0.2">
      <c r="A19" s="4" t="s">
        <v>135</v>
      </c>
      <c r="B19" s="4" t="s">
        <v>136</v>
      </c>
      <c r="C19" s="4" t="s">
        <v>137</v>
      </c>
      <c r="D19" s="4" t="s">
        <v>138</v>
      </c>
      <c r="E19" s="4" t="s">
        <v>34</v>
      </c>
      <c r="F19" s="4" t="s">
        <v>130</v>
      </c>
      <c r="G19" s="4" t="s">
        <v>52</v>
      </c>
    </row>
    <row r="20" spans="1:9" ht="49.95" customHeight="1" x14ac:dyDescent="0.45">
      <c r="A20" s="3" t="s">
        <v>126</v>
      </c>
      <c r="B20" s="3" t="s">
        <v>139</v>
      </c>
      <c r="C20" s="8">
        <v>338</v>
      </c>
      <c r="D20" s="8">
        <v>304</v>
      </c>
      <c r="E20" s="9">
        <f>C20/D20-1</f>
        <v>0.11184210526315796</v>
      </c>
      <c r="F20" s="24" t="s">
        <v>140</v>
      </c>
      <c r="G20" s="21" t="s">
        <v>141</v>
      </c>
    </row>
    <row r="21" spans="1:9" ht="49.95" customHeight="1" x14ac:dyDescent="0.45">
      <c r="A21" s="3" t="s">
        <v>127</v>
      </c>
      <c r="B21" s="3" t="s">
        <v>139</v>
      </c>
      <c r="C21" s="8">
        <v>139</v>
      </c>
      <c r="D21" s="8">
        <v>119</v>
      </c>
      <c r="E21" s="9">
        <f>C21/D21-1</f>
        <v>0.16806722689075637</v>
      </c>
      <c r="F21" s="24" t="s">
        <v>140</v>
      </c>
      <c r="G21" s="21" t="s">
        <v>141</v>
      </c>
    </row>
    <row r="22" spans="1:9" ht="49.95" customHeight="1" x14ac:dyDescent="0.45">
      <c r="A22" s="3" t="s">
        <v>128</v>
      </c>
      <c r="B22" s="3" t="s">
        <v>139</v>
      </c>
      <c r="C22" s="8">
        <v>477</v>
      </c>
      <c r="D22" s="8">
        <v>423</v>
      </c>
      <c r="E22" s="9">
        <f>C22/D22-1</f>
        <v>0.12765957446808507</v>
      </c>
      <c r="F22" s="24" t="s">
        <v>140</v>
      </c>
      <c r="G22" s="21" t="s">
        <v>141</v>
      </c>
    </row>
    <row r="23" spans="1:9" ht="31.95" customHeight="1" x14ac:dyDescent="0.2">
      <c r="A23" s="38" t="s">
        <v>142</v>
      </c>
      <c r="B23" s="39"/>
      <c r="C23" s="39"/>
      <c r="D23" s="39"/>
      <c r="E23" s="39"/>
      <c r="F23" s="39"/>
      <c r="G23" s="39"/>
      <c r="H23" s="39"/>
      <c r="I23" s="39"/>
    </row>
    <row r="24" spans="1:9" ht="64.05" customHeight="1" x14ac:dyDescent="0.2">
      <c r="A24" s="38" t="s">
        <v>143</v>
      </c>
      <c r="B24" s="39"/>
      <c r="C24" s="39"/>
      <c r="D24" s="39"/>
      <c r="E24" s="39"/>
      <c r="F24" s="39"/>
      <c r="G24" s="39"/>
      <c r="H24" s="39"/>
      <c r="I24" s="39"/>
    </row>
    <row r="26" spans="1:9" ht="22.05" customHeight="1" x14ac:dyDescent="0.5">
      <c r="A26" s="14" t="s">
        <v>144</v>
      </c>
    </row>
    <row r="27" spans="1:9" ht="30" customHeight="1" x14ac:dyDescent="0.2">
      <c r="A27" s="4" t="s">
        <v>130</v>
      </c>
      <c r="B27" s="4" t="s">
        <v>145</v>
      </c>
      <c r="C27" s="4" t="s">
        <v>146</v>
      </c>
      <c r="D27" s="4" t="s">
        <v>52</v>
      </c>
    </row>
    <row r="28" spans="1:9" ht="18" x14ac:dyDescent="0.45">
      <c r="A28" s="3" t="s">
        <v>126</v>
      </c>
      <c r="B28" s="8">
        <v>596</v>
      </c>
      <c r="C28" s="8">
        <v>28</v>
      </c>
      <c r="D28" s="21" t="s">
        <v>147</v>
      </c>
    </row>
    <row r="29" spans="1:9" ht="18" x14ac:dyDescent="0.45">
      <c r="A29" s="3" t="s">
        <v>127</v>
      </c>
      <c r="B29" s="8">
        <v>248</v>
      </c>
      <c r="C29" s="8">
        <v>18</v>
      </c>
      <c r="D29" s="21" t="s">
        <v>147</v>
      </c>
    </row>
    <row r="30" spans="1:9" ht="18" customHeight="1" x14ac:dyDescent="0.2">
      <c r="A30" s="38" t="s">
        <v>148</v>
      </c>
      <c r="B30" s="39"/>
      <c r="C30" s="39"/>
      <c r="D30" s="39"/>
      <c r="E30" s="39"/>
      <c r="F30" s="39"/>
      <c r="G30" s="39"/>
      <c r="H30" s="39"/>
      <c r="I30" s="39"/>
    </row>
    <row r="32" spans="1:9" ht="22.05" customHeight="1" x14ac:dyDescent="0.5">
      <c r="A32" s="14" t="s">
        <v>149</v>
      </c>
    </row>
    <row r="33" spans="1:9" ht="30" customHeight="1" x14ac:dyDescent="0.2">
      <c r="A33" s="4" t="s">
        <v>130</v>
      </c>
      <c r="B33" s="4" t="s">
        <v>126</v>
      </c>
      <c r="C33" s="4" t="s">
        <v>127</v>
      </c>
      <c r="D33" s="4" t="s">
        <v>52</v>
      </c>
    </row>
    <row r="34" spans="1:9" ht="18" x14ac:dyDescent="0.45">
      <c r="A34" s="3" t="s">
        <v>150</v>
      </c>
      <c r="B34" s="8">
        <v>1</v>
      </c>
      <c r="C34" s="8">
        <v>0</v>
      </c>
      <c r="D34" s="21" t="s">
        <v>151</v>
      </c>
    </row>
    <row r="35" spans="1:9" ht="18" x14ac:dyDescent="0.45">
      <c r="A35" s="3" t="s">
        <v>152</v>
      </c>
      <c r="B35" s="8">
        <v>0</v>
      </c>
      <c r="C35" s="8">
        <v>0</v>
      </c>
      <c r="D35" s="21" t="s">
        <v>151</v>
      </c>
    </row>
    <row r="36" spans="1:9" ht="18" x14ac:dyDescent="0.45">
      <c r="A36" s="3" t="s">
        <v>153</v>
      </c>
      <c r="B36" s="8">
        <v>8</v>
      </c>
      <c r="C36" s="8">
        <v>0</v>
      </c>
      <c r="D36" s="21" t="s">
        <v>151</v>
      </c>
    </row>
    <row r="37" spans="1:9" ht="18" x14ac:dyDescent="0.45">
      <c r="A37" s="3" t="s">
        <v>154</v>
      </c>
      <c r="B37" s="8">
        <v>101</v>
      </c>
      <c r="C37" s="8">
        <v>10</v>
      </c>
      <c r="D37" s="21" t="s">
        <v>151</v>
      </c>
    </row>
    <row r="38" spans="1:9" ht="18" x14ac:dyDescent="0.45">
      <c r="A38" s="3" t="s">
        <v>155</v>
      </c>
      <c r="B38" s="8">
        <v>118</v>
      </c>
      <c r="C38" s="8">
        <v>28</v>
      </c>
      <c r="D38" s="21" t="s">
        <v>151</v>
      </c>
    </row>
    <row r="39" spans="1:9" ht="18" x14ac:dyDescent="0.45">
      <c r="A39" s="3" t="s">
        <v>156</v>
      </c>
      <c r="B39" s="8">
        <v>126</v>
      </c>
      <c r="C39" s="8">
        <v>36</v>
      </c>
      <c r="D39" s="21" t="s">
        <v>151</v>
      </c>
    </row>
    <row r="40" spans="1:9" ht="18" x14ac:dyDescent="0.45">
      <c r="A40" s="3" t="s">
        <v>157</v>
      </c>
      <c r="B40" s="8">
        <v>90</v>
      </c>
      <c r="C40" s="8">
        <v>37</v>
      </c>
      <c r="D40" s="21" t="s">
        <v>151</v>
      </c>
    </row>
    <row r="41" spans="1:9" ht="18" x14ac:dyDescent="0.45">
      <c r="A41" s="3" t="s">
        <v>158</v>
      </c>
      <c r="B41" s="8">
        <v>55</v>
      </c>
      <c r="C41" s="8">
        <v>41</v>
      </c>
      <c r="D41" s="21" t="s">
        <v>151</v>
      </c>
    </row>
    <row r="42" spans="1:9" ht="18" x14ac:dyDescent="0.45">
      <c r="A42" s="3" t="s">
        <v>159</v>
      </c>
      <c r="B42" s="8">
        <v>36</v>
      </c>
      <c r="C42" s="8">
        <v>28</v>
      </c>
      <c r="D42" s="21" t="s">
        <v>151</v>
      </c>
    </row>
    <row r="43" spans="1:9" ht="18" x14ac:dyDescent="0.45">
      <c r="A43" s="3" t="s">
        <v>160</v>
      </c>
      <c r="B43" s="8">
        <v>32</v>
      </c>
      <c r="C43" s="8">
        <v>35</v>
      </c>
      <c r="D43" s="21" t="s">
        <v>151</v>
      </c>
    </row>
    <row r="44" spans="1:9" ht="18" x14ac:dyDescent="0.45">
      <c r="A44" s="3" t="s">
        <v>161</v>
      </c>
      <c r="B44" s="8">
        <v>24</v>
      </c>
      <c r="C44" s="8">
        <v>19</v>
      </c>
      <c r="D44" s="21" t="s">
        <v>151</v>
      </c>
    </row>
    <row r="45" spans="1:9" ht="18" x14ac:dyDescent="0.45">
      <c r="A45" s="3" t="s">
        <v>162</v>
      </c>
      <c r="B45" s="8">
        <v>31</v>
      </c>
      <c r="C45" s="8">
        <v>32</v>
      </c>
      <c r="D45" s="21" t="s">
        <v>151</v>
      </c>
    </row>
    <row r="46" spans="1:9" ht="18" x14ac:dyDescent="0.45">
      <c r="A46" s="3" t="s">
        <v>163</v>
      </c>
      <c r="B46" s="8">
        <v>2</v>
      </c>
      <c r="C46" s="8">
        <v>0</v>
      </c>
      <c r="D46" s="21" t="s">
        <v>151</v>
      </c>
    </row>
    <row r="47" spans="1:9" ht="48" customHeight="1" x14ac:dyDescent="0.2">
      <c r="A47" s="38" t="s">
        <v>164</v>
      </c>
      <c r="B47" s="39"/>
      <c r="C47" s="39"/>
      <c r="D47" s="39"/>
      <c r="E47" s="39"/>
      <c r="F47" s="39"/>
      <c r="G47" s="39"/>
      <c r="H47" s="39"/>
      <c r="I47" s="39"/>
    </row>
    <row r="49" spans="1:9" ht="22.05" customHeight="1" x14ac:dyDescent="0.5">
      <c r="A49" s="14" t="s">
        <v>165</v>
      </c>
    </row>
    <row r="50" spans="1:9" ht="30" customHeight="1" x14ac:dyDescent="0.2">
      <c r="A50" s="4" t="s">
        <v>130</v>
      </c>
      <c r="B50" s="4" t="s">
        <v>166</v>
      </c>
      <c r="C50" s="4" t="s">
        <v>167</v>
      </c>
      <c r="D50" s="4" t="s">
        <v>126</v>
      </c>
      <c r="E50" s="4" t="s">
        <v>127</v>
      </c>
      <c r="F50" s="4" t="s">
        <v>168</v>
      </c>
      <c r="G50" s="4" t="s">
        <v>169</v>
      </c>
      <c r="H50" s="4" t="s">
        <v>52</v>
      </c>
    </row>
    <row r="51" spans="1:9" ht="18" x14ac:dyDescent="0.45">
      <c r="A51" s="3" t="s">
        <v>170</v>
      </c>
      <c r="B51" s="25">
        <v>1</v>
      </c>
      <c r="C51" s="8">
        <v>273</v>
      </c>
      <c r="D51" s="8">
        <v>210</v>
      </c>
      <c r="E51" s="8">
        <v>63</v>
      </c>
      <c r="F51" s="26">
        <v>1.4810000000000001</v>
      </c>
      <c r="G51" s="26">
        <v>0.44400000000000001</v>
      </c>
      <c r="H51" s="21" t="s">
        <v>171</v>
      </c>
    </row>
    <row r="52" spans="1:9" ht="18" x14ac:dyDescent="0.45">
      <c r="A52" s="3" t="s">
        <v>172</v>
      </c>
      <c r="B52" s="25">
        <v>2</v>
      </c>
      <c r="C52" s="8">
        <v>97</v>
      </c>
      <c r="D52" s="8">
        <v>85</v>
      </c>
      <c r="E52" s="8">
        <v>12</v>
      </c>
      <c r="F52" s="26">
        <v>0.97099999999999997</v>
      </c>
      <c r="G52" s="26">
        <v>0.13700000000000001</v>
      </c>
      <c r="H52" s="21" t="s">
        <v>171</v>
      </c>
    </row>
    <row r="53" spans="1:9" ht="18" x14ac:dyDescent="0.45">
      <c r="A53" s="3" t="s">
        <v>173</v>
      </c>
      <c r="B53" s="25">
        <v>3</v>
      </c>
      <c r="C53" s="8">
        <v>70</v>
      </c>
      <c r="D53" s="8">
        <v>49</v>
      </c>
      <c r="E53" s="8">
        <v>21</v>
      </c>
      <c r="F53" s="26">
        <v>0.53100000000000003</v>
      </c>
      <c r="G53" s="26">
        <v>0.22800000000000001</v>
      </c>
      <c r="H53" s="21" t="s">
        <v>171</v>
      </c>
    </row>
    <row r="54" spans="1:9" ht="18" x14ac:dyDescent="0.45">
      <c r="A54" s="3" t="s">
        <v>174</v>
      </c>
      <c r="B54" s="25">
        <v>4</v>
      </c>
      <c r="C54" s="8">
        <v>57</v>
      </c>
      <c r="D54" s="8">
        <v>40</v>
      </c>
      <c r="E54" s="8">
        <v>17</v>
      </c>
      <c r="F54" s="26">
        <v>0.53600000000000003</v>
      </c>
      <c r="G54" s="26">
        <v>0.22800000000000001</v>
      </c>
      <c r="H54" s="21" t="s">
        <v>171</v>
      </c>
    </row>
    <row r="55" spans="1:9" ht="18" x14ac:dyDescent="0.45">
      <c r="A55" s="3" t="s">
        <v>175</v>
      </c>
      <c r="B55" s="25">
        <v>5</v>
      </c>
      <c r="C55" s="8">
        <v>43</v>
      </c>
      <c r="D55" s="8">
        <v>23</v>
      </c>
      <c r="E55" s="8">
        <v>20</v>
      </c>
      <c r="F55" s="26">
        <v>0.45200000000000001</v>
      </c>
      <c r="G55" s="26">
        <v>0.39300000000000002</v>
      </c>
      <c r="H55" s="21" t="s">
        <v>171</v>
      </c>
    </row>
    <row r="56" spans="1:9" ht="64.05" customHeight="1" x14ac:dyDescent="0.2">
      <c r="A56" s="38" t="s">
        <v>176</v>
      </c>
      <c r="B56" s="39"/>
      <c r="C56" s="39"/>
      <c r="D56" s="39"/>
      <c r="E56" s="39"/>
      <c r="F56" s="39"/>
      <c r="G56" s="39"/>
      <c r="H56" s="39"/>
      <c r="I56" s="39"/>
    </row>
    <row r="58" spans="1:9" ht="22.05" customHeight="1" x14ac:dyDescent="0.5">
      <c r="A58" s="14" t="s">
        <v>177</v>
      </c>
    </row>
    <row r="59" spans="1:9" ht="30" customHeight="1" x14ac:dyDescent="0.2">
      <c r="A59" s="4" t="s">
        <v>130</v>
      </c>
      <c r="B59" s="4" t="s">
        <v>178</v>
      </c>
      <c r="C59" s="4" t="s">
        <v>179</v>
      </c>
      <c r="D59" s="4" t="s">
        <v>52</v>
      </c>
    </row>
    <row r="60" spans="1:9" ht="18" x14ac:dyDescent="0.45">
      <c r="A60" s="3" t="s">
        <v>170</v>
      </c>
      <c r="B60" s="27">
        <v>23.1</v>
      </c>
      <c r="C60" s="27">
        <v>21.7</v>
      </c>
      <c r="D60" s="21" t="s">
        <v>180</v>
      </c>
    </row>
    <row r="61" spans="1:9" ht="18" x14ac:dyDescent="0.45">
      <c r="A61" s="3" t="s">
        <v>172</v>
      </c>
      <c r="B61" s="27">
        <v>12.4</v>
      </c>
      <c r="C61" s="27">
        <v>30.8</v>
      </c>
      <c r="D61" s="21" t="s">
        <v>180</v>
      </c>
    </row>
    <row r="62" spans="1:9" ht="18" x14ac:dyDescent="0.45">
      <c r="A62" s="3" t="s">
        <v>181</v>
      </c>
      <c r="B62" s="27">
        <v>36.700000000000003</v>
      </c>
      <c r="C62" s="27">
        <v>39.299999999999997</v>
      </c>
      <c r="D62" s="21" t="s">
        <v>180</v>
      </c>
    </row>
    <row r="63" spans="1:9" ht="18" x14ac:dyDescent="0.45">
      <c r="A63" s="3" t="s">
        <v>182</v>
      </c>
      <c r="B63" s="27">
        <v>29.9</v>
      </c>
      <c r="C63" s="27">
        <v>33.4</v>
      </c>
      <c r="D63" s="21" t="s">
        <v>180</v>
      </c>
    </row>
    <row r="64" spans="1:9" ht="18" customHeight="1" x14ac:dyDescent="0.2">
      <c r="A64" s="38" t="s">
        <v>183</v>
      </c>
      <c r="B64" s="39"/>
      <c r="C64" s="39"/>
      <c r="D64" s="39"/>
      <c r="E64" s="39"/>
      <c r="F64" s="39"/>
      <c r="G64" s="39"/>
      <c r="H64" s="39"/>
      <c r="I64" s="39"/>
    </row>
    <row r="66" spans="1:9" ht="22.05" customHeight="1" x14ac:dyDescent="0.5">
      <c r="A66" s="14" t="s">
        <v>184</v>
      </c>
    </row>
    <row r="67" spans="1:9" ht="30" customHeight="1" x14ac:dyDescent="0.2">
      <c r="A67" s="4" t="s">
        <v>130</v>
      </c>
      <c r="B67" s="4" t="s">
        <v>126</v>
      </c>
      <c r="C67" s="4" t="s">
        <v>127</v>
      </c>
      <c r="D67" s="4" t="s">
        <v>128</v>
      </c>
      <c r="E67" s="4" t="s">
        <v>52</v>
      </c>
    </row>
    <row r="68" spans="1:9" ht="18" x14ac:dyDescent="0.45">
      <c r="A68" s="3" t="s">
        <v>185</v>
      </c>
      <c r="B68" s="8">
        <v>25818</v>
      </c>
      <c r="C68" s="8">
        <v>11447</v>
      </c>
      <c r="D68" s="8">
        <v>37265</v>
      </c>
      <c r="E68" s="21" t="s">
        <v>180</v>
      </c>
    </row>
    <row r="69" spans="1:9" ht="64.05" customHeight="1" x14ac:dyDescent="0.2">
      <c r="A69" s="38" t="s">
        <v>186</v>
      </c>
      <c r="B69" s="39"/>
      <c r="C69" s="39"/>
      <c r="D69" s="39"/>
      <c r="E69" s="39"/>
      <c r="F69" s="39"/>
      <c r="G69" s="39"/>
      <c r="H69" s="39"/>
      <c r="I69" s="39"/>
    </row>
    <row r="71" spans="1:9" ht="22.05" customHeight="1" x14ac:dyDescent="0.5">
      <c r="A71" s="14" t="s">
        <v>187</v>
      </c>
    </row>
    <row r="72" spans="1:9" ht="30" customHeight="1" x14ac:dyDescent="0.2">
      <c r="A72" s="4" t="s">
        <v>130</v>
      </c>
      <c r="B72" s="4" t="s">
        <v>126</v>
      </c>
      <c r="C72" s="4" t="s">
        <v>127</v>
      </c>
      <c r="D72" s="4" t="s">
        <v>128</v>
      </c>
      <c r="E72" s="4" t="s">
        <v>52</v>
      </c>
    </row>
    <row r="73" spans="1:9" ht="18" x14ac:dyDescent="0.45">
      <c r="A73" s="3" t="s">
        <v>188</v>
      </c>
      <c r="B73" s="8">
        <v>404</v>
      </c>
      <c r="C73" s="8">
        <v>139</v>
      </c>
      <c r="D73" s="8">
        <v>543</v>
      </c>
      <c r="E73" s="21" t="s">
        <v>147</v>
      </c>
    </row>
    <row r="74" spans="1:9" ht="18" x14ac:dyDescent="0.45">
      <c r="A74" s="3" t="s">
        <v>189</v>
      </c>
      <c r="B74" s="8">
        <v>91</v>
      </c>
      <c r="C74" s="8">
        <v>52</v>
      </c>
      <c r="D74" s="8">
        <v>143</v>
      </c>
      <c r="E74" s="21" t="s">
        <v>147</v>
      </c>
    </row>
    <row r="75" spans="1:9" ht="18" x14ac:dyDescent="0.45">
      <c r="A75" s="3" t="s">
        <v>190</v>
      </c>
      <c r="B75" s="8">
        <v>0</v>
      </c>
      <c r="C75" s="8">
        <v>0</v>
      </c>
      <c r="D75" s="8">
        <v>0</v>
      </c>
      <c r="E75" s="21" t="s">
        <v>147</v>
      </c>
    </row>
    <row r="76" spans="1:9" ht="18" x14ac:dyDescent="0.45">
      <c r="A76" s="3" t="s">
        <v>191</v>
      </c>
      <c r="B76" s="8">
        <v>1</v>
      </c>
      <c r="C76" s="8">
        <v>0</v>
      </c>
      <c r="D76" s="8">
        <v>1</v>
      </c>
      <c r="E76" s="21" t="s">
        <v>147</v>
      </c>
    </row>
    <row r="77" spans="1:9" ht="18" x14ac:dyDescent="0.45">
      <c r="A77" s="3" t="s">
        <v>192</v>
      </c>
      <c r="B77" s="8">
        <v>44</v>
      </c>
      <c r="C77" s="8">
        <v>24</v>
      </c>
      <c r="D77" s="8">
        <v>68</v>
      </c>
      <c r="E77" s="21" t="s">
        <v>147</v>
      </c>
    </row>
    <row r="78" spans="1:9" ht="18" x14ac:dyDescent="0.45">
      <c r="A78" s="3" t="s">
        <v>163</v>
      </c>
      <c r="B78" s="8">
        <v>84</v>
      </c>
      <c r="C78" s="8">
        <v>51</v>
      </c>
      <c r="D78" s="8">
        <v>135</v>
      </c>
      <c r="E78" s="21" t="s">
        <v>147</v>
      </c>
    </row>
    <row r="79" spans="1:9" ht="79.95" customHeight="1" x14ac:dyDescent="0.2">
      <c r="A79" s="38" t="s">
        <v>193</v>
      </c>
      <c r="B79" s="39"/>
      <c r="C79" s="39"/>
      <c r="D79" s="39"/>
      <c r="E79" s="39"/>
      <c r="F79" s="39"/>
      <c r="G79" s="39"/>
      <c r="H79" s="39"/>
      <c r="I79" s="39"/>
    </row>
    <row r="81" spans="1:9" ht="22.05" customHeight="1" x14ac:dyDescent="0.5">
      <c r="A81" s="14" t="s">
        <v>194</v>
      </c>
    </row>
    <row r="82" spans="1:9" ht="30" customHeight="1" x14ac:dyDescent="0.2">
      <c r="A82" s="4" t="s">
        <v>130</v>
      </c>
      <c r="B82" s="4" t="s">
        <v>126</v>
      </c>
      <c r="C82" s="4" t="s">
        <v>127</v>
      </c>
      <c r="D82" s="4" t="s">
        <v>52</v>
      </c>
    </row>
    <row r="83" spans="1:9" ht="18" x14ac:dyDescent="0.45">
      <c r="A83" s="3" t="s">
        <v>195</v>
      </c>
      <c r="B83" s="8">
        <v>451</v>
      </c>
      <c r="C83" s="8">
        <v>202</v>
      </c>
      <c r="D83" s="21" t="s">
        <v>147</v>
      </c>
    </row>
    <row r="84" spans="1:9" ht="18" x14ac:dyDescent="0.45">
      <c r="A84" s="3" t="s">
        <v>196</v>
      </c>
      <c r="B84" s="8">
        <v>16</v>
      </c>
      <c r="C84" s="8">
        <v>8</v>
      </c>
      <c r="D84" s="21" t="s">
        <v>147</v>
      </c>
    </row>
    <row r="85" spans="1:9" ht="18" x14ac:dyDescent="0.45">
      <c r="A85" s="3" t="s">
        <v>197</v>
      </c>
      <c r="B85" s="8">
        <v>145</v>
      </c>
      <c r="C85" s="8">
        <v>46</v>
      </c>
      <c r="D85" s="21" t="s">
        <v>147</v>
      </c>
    </row>
    <row r="86" spans="1:9" ht="18" x14ac:dyDescent="0.45">
      <c r="A86" s="3" t="s">
        <v>198</v>
      </c>
      <c r="B86" s="8">
        <v>12</v>
      </c>
      <c r="C86" s="8">
        <v>10</v>
      </c>
      <c r="D86" s="21" t="s">
        <v>147</v>
      </c>
    </row>
    <row r="87" spans="1:9" ht="18" customHeight="1" x14ac:dyDescent="0.2">
      <c r="A87" s="38" t="s">
        <v>199</v>
      </c>
      <c r="B87" s="39"/>
      <c r="C87" s="39"/>
      <c r="D87" s="39"/>
      <c r="E87" s="39"/>
      <c r="F87" s="39"/>
      <c r="G87" s="39"/>
      <c r="H87" s="39"/>
      <c r="I87" s="39"/>
    </row>
    <row r="89" spans="1:9" ht="22.05" customHeight="1" x14ac:dyDescent="0.5">
      <c r="A89" s="14" t="s">
        <v>200</v>
      </c>
    </row>
    <row r="90" spans="1:9" ht="30" customHeight="1" x14ac:dyDescent="0.2">
      <c r="A90" s="4" t="s">
        <v>130</v>
      </c>
      <c r="B90" s="4" t="s">
        <v>201</v>
      </c>
      <c r="C90" s="4" t="s">
        <v>202</v>
      </c>
      <c r="D90" s="4" t="s">
        <v>52</v>
      </c>
    </row>
    <row r="91" spans="1:9" ht="18" x14ac:dyDescent="0.45">
      <c r="A91" s="3" t="s">
        <v>203</v>
      </c>
      <c r="B91" s="8">
        <v>142260</v>
      </c>
      <c r="C91" s="8">
        <v>129695</v>
      </c>
      <c r="D91" s="21" t="s">
        <v>180</v>
      </c>
    </row>
    <row r="92" spans="1:9" ht="18" x14ac:dyDescent="0.45">
      <c r="A92" s="3" t="s">
        <v>204</v>
      </c>
      <c r="B92" s="8">
        <v>68998</v>
      </c>
      <c r="C92" s="8">
        <v>66519</v>
      </c>
      <c r="D92" s="21" t="s">
        <v>180</v>
      </c>
    </row>
    <row r="93" spans="1:9" ht="18" x14ac:dyDescent="0.45">
      <c r="A93" s="3" t="s">
        <v>205</v>
      </c>
      <c r="B93" s="8">
        <v>58172</v>
      </c>
      <c r="C93" s="8">
        <v>54551</v>
      </c>
      <c r="D93" s="21" t="s">
        <v>180</v>
      </c>
    </row>
    <row r="94" spans="1:9" ht="18" x14ac:dyDescent="0.45">
      <c r="A94" s="3" t="s">
        <v>206</v>
      </c>
      <c r="B94" s="8">
        <v>73104</v>
      </c>
      <c r="C94" s="8">
        <v>67009</v>
      </c>
      <c r="D94" s="21" t="s">
        <v>180</v>
      </c>
    </row>
    <row r="95" spans="1:9" ht="18" x14ac:dyDescent="0.45">
      <c r="A95" s="3" t="s">
        <v>207</v>
      </c>
      <c r="B95" s="8">
        <v>106137</v>
      </c>
      <c r="C95" s="8">
        <v>86088</v>
      </c>
      <c r="D95" s="21" t="s">
        <v>180</v>
      </c>
    </row>
    <row r="96" spans="1:9" ht="18" x14ac:dyDescent="0.45">
      <c r="A96" s="3" t="s">
        <v>208</v>
      </c>
      <c r="B96" s="8">
        <v>108988</v>
      </c>
      <c r="C96" s="8">
        <v>84144</v>
      </c>
      <c r="D96" s="21" t="s">
        <v>180</v>
      </c>
    </row>
    <row r="97" spans="1:9" ht="18" x14ac:dyDescent="0.45">
      <c r="A97" s="3" t="s">
        <v>209</v>
      </c>
      <c r="B97" s="8">
        <v>106756</v>
      </c>
      <c r="C97" s="8">
        <v>73359</v>
      </c>
      <c r="D97" s="21" t="s">
        <v>180</v>
      </c>
    </row>
    <row r="98" spans="1:9" ht="79.95" customHeight="1" x14ac:dyDescent="0.2">
      <c r="A98" s="38" t="s">
        <v>210</v>
      </c>
      <c r="B98" s="39"/>
      <c r="C98" s="39"/>
      <c r="D98" s="39"/>
      <c r="E98" s="39"/>
      <c r="F98" s="39"/>
      <c r="G98" s="39"/>
      <c r="H98" s="39"/>
      <c r="I98" s="39"/>
    </row>
    <row r="100" spans="1:9" ht="22.05" customHeight="1" x14ac:dyDescent="0.5">
      <c r="A100" s="14" t="s">
        <v>211</v>
      </c>
    </row>
    <row r="101" spans="1:9" ht="30" customHeight="1" x14ac:dyDescent="0.2">
      <c r="A101" s="4" t="s">
        <v>130</v>
      </c>
      <c r="B101" s="4" t="s">
        <v>126</v>
      </c>
      <c r="C101" s="4" t="s">
        <v>127</v>
      </c>
      <c r="D101" s="4" t="s">
        <v>128</v>
      </c>
      <c r="E101" s="4" t="s">
        <v>52</v>
      </c>
    </row>
    <row r="102" spans="1:9" ht="30" customHeight="1" x14ac:dyDescent="0.45">
      <c r="A102" s="3" t="s">
        <v>212</v>
      </c>
      <c r="B102" s="8">
        <v>173</v>
      </c>
      <c r="C102" s="8">
        <v>52</v>
      </c>
      <c r="D102" s="8">
        <v>225</v>
      </c>
      <c r="E102" s="21" t="s">
        <v>141</v>
      </c>
    </row>
    <row r="103" spans="1:9" ht="30" customHeight="1" x14ac:dyDescent="0.45">
      <c r="A103" s="3" t="s">
        <v>213</v>
      </c>
      <c r="B103" s="8">
        <v>165</v>
      </c>
      <c r="C103" s="8">
        <v>87</v>
      </c>
      <c r="D103" s="8">
        <v>252</v>
      </c>
      <c r="E103" s="21" t="s">
        <v>141</v>
      </c>
    </row>
    <row r="104" spans="1:9" ht="18" x14ac:dyDescent="0.45">
      <c r="A104" s="3" t="s">
        <v>214</v>
      </c>
      <c r="B104" s="8">
        <v>148</v>
      </c>
      <c r="C104" s="8">
        <v>52</v>
      </c>
      <c r="D104" s="8">
        <v>200</v>
      </c>
      <c r="E104" s="21" t="s">
        <v>141</v>
      </c>
    </row>
    <row r="105" spans="1:9" ht="18" x14ac:dyDescent="0.45">
      <c r="A105" s="3" t="s">
        <v>215</v>
      </c>
      <c r="B105" s="8">
        <v>156</v>
      </c>
      <c r="C105" s="8">
        <v>67</v>
      </c>
      <c r="D105" s="8">
        <v>223</v>
      </c>
      <c r="E105" s="21" t="s">
        <v>141</v>
      </c>
    </row>
    <row r="106" spans="1:9" ht="31.95" customHeight="1" x14ac:dyDescent="0.2">
      <c r="A106" s="38" t="s">
        <v>216</v>
      </c>
      <c r="B106" s="39"/>
      <c r="C106" s="39"/>
      <c r="D106" s="39"/>
      <c r="E106" s="39"/>
      <c r="F106" s="39"/>
      <c r="G106" s="39"/>
      <c r="H106" s="39"/>
      <c r="I106" s="39"/>
    </row>
    <row r="108" spans="1:9" ht="22.05" customHeight="1" x14ac:dyDescent="0.5">
      <c r="A108" s="14" t="s">
        <v>217</v>
      </c>
    </row>
    <row r="109" spans="1:9" ht="30" customHeight="1" x14ac:dyDescent="0.2">
      <c r="A109" s="4" t="s">
        <v>130</v>
      </c>
      <c r="B109" s="4" t="s">
        <v>137</v>
      </c>
      <c r="C109" s="4" t="s">
        <v>218</v>
      </c>
      <c r="D109" s="4" t="s">
        <v>52</v>
      </c>
    </row>
    <row r="110" spans="1:9" ht="18" x14ac:dyDescent="0.45">
      <c r="A110" s="3" t="s">
        <v>219</v>
      </c>
      <c r="B110" s="8">
        <v>22771</v>
      </c>
      <c r="C110" s="8">
        <v>26434</v>
      </c>
      <c r="D110" s="21" t="s">
        <v>141</v>
      </c>
    </row>
    <row r="111" spans="1:9" ht="18" x14ac:dyDescent="0.45">
      <c r="A111" s="3" t="s">
        <v>220</v>
      </c>
      <c r="B111" s="8">
        <v>24037</v>
      </c>
      <c r="C111" s="8">
        <v>26850</v>
      </c>
      <c r="D111" s="21" t="s">
        <v>141</v>
      </c>
    </row>
    <row r="112" spans="1:9" ht="18" x14ac:dyDescent="0.45">
      <c r="A112" s="3" t="s">
        <v>221</v>
      </c>
      <c r="B112" s="8">
        <v>14760</v>
      </c>
      <c r="C112" s="8">
        <v>17488</v>
      </c>
      <c r="D112" s="21" t="s">
        <v>141</v>
      </c>
    </row>
    <row r="113" spans="1:9" ht="18" x14ac:dyDescent="0.45">
      <c r="A113" s="3" t="s">
        <v>222</v>
      </c>
      <c r="B113" s="8">
        <v>14934</v>
      </c>
      <c r="C113" s="8">
        <v>17948</v>
      </c>
      <c r="D113" s="21" t="s">
        <v>141</v>
      </c>
    </row>
    <row r="114" spans="1:9" ht="48" customHeight="1" x14ac:dyDescent="0.2">
      <c r="A114" s="38" t="s">
        <v>223</v>
      </c>
      <c r="B114" s="39"/>
      <c r="C114" s="39"/>
      <c r="D114" s="39"/>
      <c r="E114" s="39"/>
      <c r="F114" s="39"/>
      <c r="G114" s="39"/>
      <c r="H114" s="39"/>
      <c r="I114" s="39"/>
    </row>
    <row r="116" spans="1:9" ht="22.05" customHeight="1" x14ac:dyDescent="0.5">
      <c r="A116" s="14" t="s">
        <v>224</v>
      </c>
    </row>
    <row r="117" spans="1:9" ht="31.95" customHeight="1" x14ac:dyDescent="0.2">
      <c r="A117" s="40" t="s">
        <v>225</v>
      </c>
      <c r="B117" s="39"/>
      <c r="C117" s="39"/>
      <c r="D117" s="39"/>
      <c r="E117" s="39"/>
      <c r="F117" s="39"/>
      <c r="G117" s="39"/>
      <c r="H117" s="39"/>
      <c r="I117" s="39"/>
    </row>
    <row r="118" spans="1:9" ht="31.95" customHeight="1" x14ac:dyDescent="0.2">
      <c r="A118" s="40" t="s">
        <v>226</v>
      </c>
      <c r="B118" s="39"/>
      <c r="C118" s="39"/>
      <c r="D118" s="39"/>
      <c r="E118" s="39"/>
      <c r="F118" s="39"/>
      <c r="G118" s="39"/>
      <c r="H118" s="39"/>
      <c r="I118" s="39"/>
    </row>
    <row r="119" spans="1:9" ht="31.95" customHeight="1" x14ac:dyDescent="0.2">
      <c r="A119" s="40" t="s">
        <v>227</v>
      </c>
      <c r="B119" s="39"/>
      <c r="C119" s="39"/>
      <c r="D119" s="39"/>
      <c r="E119" s="39"/>
      <c r="F119" s="39"/>
      <c r="G119" s="39"/>
      <c r="H119" s="39"/>
      <c r="I119" s="39"/>
    </row>
    <row r="120" spans="1:9" ht="31.95" customHeight="1" x14ac:dyDescent="0.2">
      <c r="A120" s="40" t="s">
        <v>228</v>
      </c>
      <c r="B120" s="39"/>
      <c r="C120" s="39"/>
      <c r="D120" s="39"/>
      <c r="E120" s="39"/>
      <c r="F120" s="39"/>
      <c r="G120" s="39"/>
      <c r="H120" s="39"/>
      <c r="I120" s="39"/>
    </row>
    <row r="121" spans="1:9" ht="48" customHeight="1" x14ac:dyDescent="0.2">
      <c r="A121" s="40" t="s">
        <v>229</v>
      </c>
      <c r="B121" s="39"/>
      <c r="C121" s="39"/>
      <c r="D121" s="39"/>
      <c r="E121" s="39"/>
      <c r="F121" s="39"/>
      <c r="G121" s="39"/>
      <c r="H121" s="39"/>
      <c r="I121" s="39"/>
    </row>
    <row r="123" spans="1:9" ht="22.05" customHeight="1" x14ac:dyDescent="0.5">
      <c r="A123" s="14" t="s">
        <v>230</v>
      </c>
    </row>
    <row r="124" spans="1:9" ht="31.95" customHeight="1" x14ac:dyDescent="0.2">
      <c r="A124" s="40" t="s">
        <v>231</v>
      </c>
      <c r="B124" s="39"/>
      <c r="C124" s="39"/>
      <c r="D124" s="39"/>
      <c r="E124" s="39"/>
      <c r="F124" s="39"/>
      <c r="G124" s="39"/>
      <c r="H124" s="39"/>
      <c r="I124" s="39"/>
    </row>
    <row r="125" spans="1:9" ht="64.05" customHeight="1" x14ac:dyDescent="0.2">
      <c r="A125" s="40" t="s">
        <v>232</v>
      </c>
      <c r="B125" s="39"/>
      <c r="C125" s="39"/>
      <c r="D125" s="39"/>
      <c r="E125" s="39"/>
      <c r="F125" s="39"/>
      <c r="G125" s="39"/>
      <c r="H125" s="39"/>
      <c r="I125" s="39"/>
    </row>
    <row r="126" spans="1:9" ht="31.95" customHeight="1" x14ac:dyDescent="0.2">
      <c r="A126" s="40" t="s">
        <v>233</v>
      </c>
      <c r="B126" s="39"/>
      <c r="C126" s="39"/>
      <c r="D126" s="39"/>
      <c r="E126" s="39"/>
      <c r="F126" s="39"/>
      <c r="G126" s="39"/>
      <c r="H126" s="39"/>
      <c r="I126" s="39"/>
    </row>
    <row r="127" spans="1:9" ht="31.95" customHeight="1" x14ac:dyDescent="0.2">
      <c r="A127" s="40" t="s">
        <v>234</v>
      </c>
      <c r="B127" s="39"/>
      <c r="C127" s="39"/>
      <c r="D127" s="39"/>
      <c r="E127" s="39"/>
      <c r="F127" s="39"/>
      <c r="G127" s="39"/>
      <c r="H127" s="39"/>
      <c r="I127" s="39"/>
    </row>
    <row r="129" spans="1:9" ht="22.05" customHeight="1" x14ac:dyDescent="0.5">
      <c r="A129" s="14" t="s">
        <v>235</v>
      </c>
    </row>
    <row r="130" spans="1:9" ht="18" customHeight="1" x14ac:dyDescent="0.2">
      <c r="A130" s="40" t="s">
        <v>81</v>
      </c>
      <c r="B130" s="39"/>
      <c r="C130" s="39"/>
      <c r="D130" s="39"/>
      <c r="E130" s="39"/>
      <c r="F130" s="39"/>
      <c r="G130" s="39"/>
      <c r="H130" s="39"/>
      <c r="I130" s="39"/>
    </row>
    <row r="131" spans="1:9" ht="48" customHeight="1" x14ac:dyDescent="0.2">
      <c r="A131" s="40" t="s">
        <v>82</v>
      </c>
      <c r="B131" s="39"/>
      <c r="C131" s="39"/>
      <c r="D131" s="39"/>
      <c r="E131" s="39"/>
      <c r="F131" s="39"/>
      <c r="G131" s="39"/>
      <c r="H131" s="39"/>
      <c r="I131" s="39"/>
    </row>
    <row r="132" spans="1:9" ht="31.95" customHeight="1" x14ac:dyDescent="0.2">
      <c r="A132" s="40" t="s">
        <v>83</v>
      </c>
      <c r="B132" s="39"/>
      <c r="C132" s="39"/>
      <c r="D132" s="39"/>
      <c r="E132" s="39"/>
      <c r="F132" s="39"/>
      <c r="G132" s="39"/>
      <c r="H132" s="39"/>
      <c r="I132" s="39"/>
    </row>
    <row r="133" spans="1:9" ht="31.95" customHeight="1" x14ac:dyDescent="0.2">
      <c r="A133" s="40" t="s">
        <v>84</v>
      </c>
      <c r="B133" s="39"/>
      <c r="C133" s="39"/>
      <c r="D133" s="39"/>
      <c r="E133" s="39"/>
      <c r="F133" s="39"/>
      <c r="G133" s="39"/>
      <c r="H133" s="39"/>
      <c r="I133" s="39"/>
    </row>
    <row r="134" spans="1:9" ht="31.95" customHeight="1" x14ac:dyDescent="0.2">
      <c r="A134" s="40" t="s">
        <v>85</v>
      </c>
      <c r="B134" s="39"/>
      <c r="C134" s="39"/>
      <c r="D134" s="39"/>
      <c r="E134" s="39"/>
      <c r="F134" s="39"/>
      <c r="G134" s="39"/>
      <c r="H134" s="39"/>
      <c r="I134" s="39"/>
    </row>
    <row r="135" spans="1:9" ht="18" customHeight="1" x14ac:dyDescent="0.2">
      <c r="A135" s="40" t="s">
        <v>86</v>
      </c>
      <c r="B135" s="39"/>
      <c r="C135" s="39"/>
      <c r="D135" s="39"/>
      <c r="E135" s="39"/>
      <c r="F135" s="39"/>
      <c r="G135" s="39"/>
      <c r="H135" s="39"/>
      <c r="I135" s="39"/>
    </row>
    <row r="136" spans="1:9" ht="31.95" customHeight="1" x14ac:dyDescent="0.2">
      <c r="A136" s="40" t="s">
        <v>87</v>
      </c>
      <c r="B136" s="39"/>
      <c r="C136" s="39"/>
      <c r="D136" s="39"/>
      <c r="E136" s="39"/>
      <c r="F136" s="39"/>
      <c r="G136" s="39"/>
      <c r="H136" s="39"/>
      <c r="I136" s="39"/>
    </row>
    <row r="137" spans="1:9" ht="18" customHeight="1" x14ac:dyDescent="0.2">
      <c r="A137" s="38" t="s">
        <v>236</v>
      </c>
      <c r="B137" s="39"/>
      <c r="C137" s="39"/>
      <c r="D137" s="39"/>
      <c r="E137" s="39"/>
      <c r="F137" s="39"/>
      <c r="G137" s="39"/>
      <c r="H137" s="39"/>
      <c r="I137" s="39"/>
    </row>
    <row r="139" spans="1:9" ht="22.05" customHeight="1" x14ac:dyDescent="0.5">
      <c r="A139" s="14" t="s">
        <v>237</v>
      </c>
    </row>
    <row r="140" spans="1:9" ht="18" customHeight="1" x14ac:dyDescent="0.2">
      <c r="A140" s="40" t="s">
        <v>238</v>
      </c>
      <c r="B140" s="39"/>
      <c r="C140" s="39"/>
      <c r="D140" s="39"/>
      <c r="E140" s="39"/>
      <c r="F140" s="39"/>
      <c r="G140" s="39"/>
      <c r="H140" s="39"/>
      <c r="I140" s="39"/>
    </row>
    <row r="141" spans="1:9" ht="18" customHeight="1" x14ac:dyDescent="0.2">
      <c r="A141" s="40" t="s">
        <v>239</v>
      </c>
      <c r="B141" s="39"/>
      <c r="C141" s="39"/>
      <c r="D141" s="39"/>
      <c r="E141" s="39"/>
      <c r="F141" s="39"/>
      <c r="G141" s="39"/>
      <c r="H141" s="39"/>
      <c r="I141" s="39"/>
    </row>
    <row r="142" spans="1:9" ht="18" customHeight="1" x14ac:dyDescent="0.2">
      <c r="A142" s="40" t="s">
        <v>240</v>
      </c>
      <c r="B142" s="39"/>
      <c r="C142" s="39"/>
      <c r="D142" s="39"/>
      <c r="E142" s="39"/>
      <c r="F142" s="39"/>
      <c r="G142" s="39"/>
      <c r="H142" s="39"/>
      <c r="I142" s="39"/>
    </row>
    <row r="143" spans="1:9" ht="18" customHeight="1" x14ac:dyDescent="0.2">
      <c r="A143" s="40" t="s">
        <v>241</v>
      </c>
      <c r="B143" s="39"/>
      <c r="C143" s="39"/>
      <c r="D143" s="39"/>
      <c r="E143" s="39"/>
      <c r="F143" s="39"/>
      <c r="G143" s="39"/>
      <c r="H143" s="39"/>
      <c r="I143" s="39"/>
    </row>
    <row r="144" spans="1:9" ht="31.95" customHeight="1" x14ac:dyDescent="0.2">
      <c r="A144" s="40" t="s">
        <v>242</v>
      </c>
      <c r="B144" s="39"/>
      <c r="C144" s="39"/>
      <c r="D144" s="39"/>
      <c r="E144" s="39"/>
      <c r="F144" s="39"/>
      <c r="G144" s="39"/>
      <c r="H144" s="39"/>
      <c r="I144" s="39"/>
    </row>
    <row r="145" spans="1:9" ht="18" customHeight="1" x14ac:dyDescent="0.2">
      <c r="A145" s="40" t="s">
        <v>243</v>
      </c>
      <c r="B145" s="39"/>
      <c r="C145" s="39"/>
      <c r="D145" s="39"/>
      <c r="E145" s="39"/>
      <c r="F145" s="39"/>
      <c r="G145" s="39"/>
      <c r="H145" s="39"/>
      <c r="I145" s="39"/>
    </row>
  </sheetData>
  <mergeCells count="37">
    <mergeCell ref="A16:I16"/>
    <mergeCell ref="A143:I143"/>
    <mergeCell ref="A130:I130"/>
    <mergeCell ref="A24:I24"/>
    <mergeCell ref="A30:I30"/>
    <mergeCell ref="A64:I64"/>
    <mergeCell ref="A98:I98"/>
    <mergeCell ref="A142:I142"/>
    <mergeCell ref="A132:I132"/>
    <mergeCell ref="A79:I79"/>
    <mergeCell ref="A124:I124"/>
    <mergeCell ref="A119:I119"/>
    <mergeCell ref="A69:I69"/>
    <mergeCell ref="A87:I87"/>
    <mergeCell ref="A145:I145"/>
    <mergeCell ref="A2:I2"/>
    <mergeCell ref="A47:I47"/>
    <mergeCell ref="A141:I141"/>
    <mergeCell ref="A23:I23"/>
    <mergeCell ref="A126:I126"/>
    <mergeCell ref="A106:I106"/>
    <mergeCell ref="A144:I144"/>
    <mergeCell ref="A140:I140"/>
    <mergeCell ref="A135:I135"/>
    <mergeCell ref="A131:I131"/>
    <mergeCell ref="A125:I125"/>
    <mergeCell ref="A134:I134"/>
    <mergeCell ref="A121:I121"/>
    <mergeCell ref="A117:I117"/>
    <mergeCell ref="A127:I127"/>
    <mergeCell ref="A137:I137"/>
    <mergeCell ref="A133:I133"/>
    <mergeCell ref="A118:I118"/>
    <mergeCell ref="A56:I56"/>
    <mergeCell ref="A120:I120"/>
    <mergeCell ref="A136:I136"/>
    <mergeCell ref="A114:I114"/>
  </mergeCells>
  <phoneticPr fontId="8"/>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O63"/>
  <sheetViews>
    <sheetView showGridLines="0" workbookViewId="0">
      <pane xSplit="1" ySplit="3" topLeftCell="B4" activePane="bottomRight" state="frozen"/>
      <selection pane="topRight"/>
      <selection pane="bottomLeft"/>
      <selection pane="bottomRight"/>
    </sheetView>
  </sheetViews>
  <sheetFormatPr defaultRowHeight="13.2" x14ac:dyDescent="0.2"/>
  <cols>
    <col min="1" max="1" width="26" customWidth="1"/>
    <col min="2" max="2" width="8" customWidth="1"/>
    <col min="3" max="3" width="22" customWidth="1"/>
    <col min="4" max="4" width="13" customWidth="1"/>
    <col min="5" max="8" width="12" customWidth="1"/>
    <col min="9" max="9" width="13" customWidth="1"/>
    <col min="10" max="10" width="12" customWidth="1"/>
    <col min="11" max="11" width="13" customWidth="1"/>
    <col min="12" max="13" width="12" customWidth="1"/>
    <col min="14" max="14" width="13" customWidth="1"/>
    <col min="15" max="15" width="10" customWidth="1"/>
  </cols>
  <sheetData>
    <row r="1" spans="1:15" ht="25.95" customHeight="1" x14ac:dyDescent="0.6">
      <c r="A1" s="1" t="s">
        <v>244</v>
      </c>
    </row>
    <row r="2" spans="1:15" ht="31.95" customHeight="1" x14ac:dyDescent="0.2">
      <c r="A2" s="38" t="s">
        <v>245</v>
      </c>
      <c r="B2" s="39"/>
      <c r="C2" s="39"/>
      <c r="D2" s="39"/>
      <c r="E2" s="39"/>
      <c r="F2" s="39"/>
      <c r="G2" s="39"/>
      <c r="H2" s="39"/>
      <c r="I2" s="39"/>
      <c r="J2" s="39"/>
      <c r="K2" s="39"/>
      <c r="L2" s="39"/>
      <c r="M2" s="39"/>
    </row>
    <row r="4" spans="1:15" ht="22.05" customHeight="1" x14ac:dyDescent="0.5">
      <c r="A4" s="14" t="s">
        <v>246</v>
      </c>
    </row>
    <row r="5" spans="1:15" ht="30" customHeight="1" x14ac:dyDescent="0.2">
      <c r="A5" s="4" t="s">
        <v>247</v>
      </c>
      <c r="B5" s="4" t="s">
        <v>130</v>
      </c>
      <c r="C5" s="4" t="s">
        <v>248</v>
      </c>
      <c r="D5" s="4" t="s">
        <v>249</v>
      </c>
      <c r="E5" s="4" t="s">
        <v>250</v>
      </c>
      <c r="F5" s="4" t="s">
        <v>251</v>
      </c>
      <c r="G5" s="4" t="s">
        <v>252</v>
      </c>
      <c r="H5" s="4" t="s">
        <v>253</v>
      </c>
      <c r="I5" s="4" t="s">
        <v>254</v>
      </c>
      <c r="J5" s="4" t="s">
        <v>255</v>
      </c>
      <c r="K5" s="4" t="s">
        <v>256</v>
      </c>
      <c r="L5" s="4" t="s">
        <v>257</v>
      </c>
      <c r="M5" s="4" t="s">
        <v>258</v>
      </c>
      <c r="N5" s="4" t="s">
        <v>259</v>
      </c>
      <c r="O5" s="4" t="s">
        <v>52</v>
      </c>
    </row>
    <row r="6" spans="1:15" ht="18" x14ac:dyDescent="0.45">
      <c r="A6" s="5" t="s">
        <v>260</v>
      </c>
      <c r="B6" s="28" t="s">
        <v>260</v>
      </c>
      <c r="C6" s="29"/>
      <c r="D6" s="8">
        <v>41000000</v>
      </c>
      <c r="E6" s="8">
        <v>35300000</v>
      </c>
      <c r="F6" s="8">
        <v>47500000</v>
      </c>
      <c r="G6" s="27">
        <v>0.7</v>
      </c>
      <c r="H6" s="8">
        <v>1200000</v>
      </c>
      <c r="I6" s="30">
        <v>-42</v>
      </c>
      <c r="J6" s="8">
        <v>570000</v>
      </c>
      <c r="K6" s="30">
        <v>-57</v>
      </c>
      <c r="L6" s="8">
        <v>88</v>
      </c>
      <c r="M6" s="8">
        <v>78</v>
      </c>
      <c r="N6" s="8">
        <v>74</v>
      </c>
      <c r="O6" s="21" t="s">
        <v>261</v>
      </c>
    </row>
    <row r="7" spans="1:15" ht="18" x14ac:dyDescent="0.45">
      <c r="A7" s="5" t="s">
        <v>262</v>
      </c>
      <c r="B7" s="28" t="s">
        <v>263</v>
      </c>
      <c r="C7" s="29"/>
      <c r="D7" s="8">
        <v>7100000</v>
      </c>
      <c r="E7" s="8">
        <v>6300000</v>
      </c>
      <c r="F7" s="8">
        <v>8000000</v>
      </c>
      <c r="G7" s="27">
        <v>0.2</v>
      </c>
      <c r="H7" s="8">
        <v>280000</v>
      </c>
      <c r="I7" s="30">
        <v>-21</v>
      </c>
      <c r="J7" s="8">
        <v>120000</v>
      </c>
      <c r="K7" s="30">
        <v>-59</v>
      </c>
      <c r="L7" s="8">
        <v>81</v>
      </c>
      <c r="M7" s="8">
        <v>72</v>
      </c>
      <c r="N7" s="8">
        <v>69</v>
      </c>
      <c r="O7" s="21" t="s">
        <v>264</v>
      </c>
    </row>
    <row r="8" spans="1:15" ht="18" x14ac:dyDescent="0.45">
      <c r="A8" s="5" t="s">
        <v>265</v>
      </c>
      <c r="B8" s="28" t="s">
        <v>263</v>
      </c>
      <c r="C8" s="29"/>
      <c r="D8" s="8">
        <v>2000000</v>
      </c>
      <c r="E8" s="8">
        <v>1800000</v>
      </c>
      <c r="F8" s="8">
        <v>2200000</v>
      </c>
      <c r="G8" s="27">
        <v>1.1000000000000001</v>
      </c>
      <c r="H8" s="8">
        <v>120000</v>
      </c>
      <c r="I8" s="30">
        <v>17</v>
      </c>
      <c r="J8" s="8">
        <v>43000</v>
      </c>
      <c r="K8" s="30">
        <v>11</v>
      </c>
      <c r="L8" s="8">
        <v>83</v>
      </c>
      <c r="M8" s="8">
        <v>56</v>
      </c>
      <c r="N8" s="8">
        <v>48</v>
      </c>
      <c r="O8" s="21" t="s">
        <v>264</v>
      </c>
    </row>
    <row r="10" spans="1:15" ht="22.05" customHeight="1" x14ac:dyDescent="0.5">
      <c r="A10" s="14" t="s">
        <v>266</v>
      </c>
    </row>
    <row r="11" spans="1:15" ht="30" customHeight="1" x14ac:dyDescent="0.2">
      <c r="A11" s="4" t="s">
        <v>247</v>
      </c>
      <c r="B11" s="4" t="s">
        <v>130</v>
      </c>
      <c r="C11" s="4" t="s">
        <v>248</v>
      </c>
      <c r="D11" s="4" t="s">
        <v>249</v>
      </c>
      <c r="E11" s="4" t="s">
        <v>250</v>
      </c>
      <c r="F11" s="4" t="s">
        <v>251</v>
      </c>
      <c r="G11" s="4" t="s">
        <v>252</v>
      </c>
      <c r="H11" s="4" t="s">
        <v>253</v>
      </c>
      <c r="I11" s="4" t="s">
        <v>254</v>
      </c>
      <c r="J11" s="4" t="s">
        <v>255</v>
      </c>
      <c r="K11" s="4" t="s">
        <v>256</v>
      </c>
      <c r="L11" s="4" t="s">
        <v>257</v>
      </c>
      <c r="M11" s="4" t="s">
        <v>258</v>
      </c>
      <c r="N11" s="4" t="s">
        <v>259</v>
      </c>
      <c r="O11" s="4" t="s">
        <v>52</v>
      </c>
    </row>
    <row r="12" spans="1:15" ht="18" x14ac:dyDescent="0.45">
      <c r="A12" s="5" t="s">
        <v>267</v>
      </c>
      <c r="B12" s="28" t="s">
        <v>268</v>
      </c>
      <c r="C12" s="28" t="s">
        <v>269</v>
      </c>
      <c r="D12" s="8">
        <v>2600000</v>
      </c>
      <c r="E12" s="8">
        <v>2100000</v>
      </c>
      <c r="F12" s="8">
        <v>3100000</v>
      </c>
      <c r="G12" s="27">
        <v>0.2</v>
      </c>
      <c r="H12" s="8">
        <v>60000</v>
      </c>
      <c r="I12" s="30">
        <v>-52</v>
      </c>
      <c r="J12" s="8">
        <v>25000</v>
      </c>
      <c r="K12" s="30">
        <v>-86</v>
      </c>
      <c r="L12" s="8">
        <v>88</v>
      </c>
      <c r="M12" s="8">
        <v>77</v>
      </c>
      <c r="N12" s="8">
        <v>74</v>
      </c>
      <c r="O12" s="21" t="s">
        <v>264</v>
      </c>
    </row>
    <row r="13" spans="1:15" ht="18" x14ac:dyDescent="0.45">
      <c r="A13" s="5" t="s">
        <v>270</v>
      </c>
      <c r="B13" s="28" t="s">
        <v>268</v>
      </c>
      <c r="C13" s="28" t="s">
        <v>269</v>
      </c>
      <c r="D13" s="8">
        <v>620000</v>
      </c>
      <c r="E13" s="8">
        <v>560000</v>
      </c>
      <c r="F13" s="8">
        <v>690000</v>
      </c>
      <c r="G13" s="27">
        <v>1.1000000000000001</v>
      </c>
      <c r="H13" s="8">
        <v>7300</v>
      </c>
      <c r="I13" s="30">
        <v>-66</v>
      </c>
      <c r="J13" s="8">
        <v>8400</v>
      </c>
      <c r="K13" s="30">
        <v>-80</v>
      </c>
      <c r="L13" s="8">
        <v>90</v>
      </c>
      <c r="M13" s="8">
        <v>82</v>
      </c>
      <c r="N13" s="8">
        <v>81</v>
      </c>
      <c r="O13" s="21" t="s">
        <v>264</v>
      </c>
    </row>
    <row r="14" spans="1:15" ht="18" x14ac:dyDescent="0.45">
      <c r="A14" s="5" t="s">
        <v>271</v>
      </c>
      <c r="B14" s="28" t="s">
        <v>268</v>
      </c>
      <c r="C14" s="28" t="s">
        <v>269</v>
      </c>
      <c r="D14" s="8">
        <v>560000</v>
      </c>
      <c r="E14" s="8">
        <v>500000</v>
      </c>
      <c r="F14" s="8">
        <v>610000</v>
      </c>
      <c r="G14" s="27">
        <v>0.3</v>
      </c>
      <c r="H14" s="8">
        <v>21000</v>
      </c>
      <c r="I14" s="30">
        <v>-57</v>
      </c>
      <c r="J14" s="8">
        <v>18000</v>
      </c>
      <c r="K14" s="30">
        <v>29</v>
      </c>
      <c r="L14" s="8">
        <v>67</v>
      </c>
      <c r="M14" s="8">
        <v>48</v>
      </c>
      <c r="N14" s="8">
        <v>45</v>
      </c>
      <c r="O14" s="21" t="s">
        <v>264</v>
      </c>
    </row>
    <row r="15" spans="1:15" ht="18" x14ac:dyDescent="0.45">
      <c r="A15" s="5" t="s">
        <v>272</v>
      </c>
      <c r="B15" s="28" t="s">
        <v>268</v>
      </c>
      <c r="C15" s="28" t="s">
        <v>269</v>
      </c>
      <c r="D15" s="8">
        <v>340000</v>
      </c>
      <c r="E15" s="8">
        <v>310000</v>
      </c>
      <c r="F15" s="8">
        <v>370000</v>
      </c>
      <c r="G15" s="27">
        <v>0.2</v>
      </c>
      <c r="H15" s="8">
        <v>44000</v>
      </c>
      <c r="I15" s="30">
        <v>222</v>
      </c>
      <c r="J15" s="8">
        <v>14000</v>
      </c>
      <c r="K15" s="30">
        <v>553</v>
      </c>
      <c r="L15" s="8">
        <v>25</v>
      </c>
      <c r="M15" s="8">
        <v>18</v>
      </c>
      <c r="N15" s="29" t="s">
        <v>37</v>
      </c>
      <c r="O15" s="21" t="s">
        <v>264</v>
      </c>
    </row>
    <row r="16" spans="1:15" ht="18" x14ac:dyDescent="0.45">
      <c r="A16" s="5" t="s">
        <v>273</v>
      </c>
      <c r="B16" s="28" t="s">
        <v>268</v>
      </c>
      <c r="C16" s="28" t="s">
        <v>269</v>
      </c>
      <c r="D16" s="8">
        <v>310000</v>
      </c>
      <c r="E16" s="8">
        <v>270000</v>
      </c>
      <c r="F16" s="8">
        <v>340000</v>
      </c>
      <c r="G16" s="27">
        <v>0.9</v>
      </c>
      <c r="H16" s="8">
        <v>9500</v>
      </c>
      <c r="I16" s="30">
        <v>-43</v>
      </c>
      <c r="J16" s="8">
        <v>4400</v>
      </c>
      <c r="K16" s="30">
        <v>-63</v>
      </c>
      <c r="L16" s="8">
        <v>84</v>
      </c>
      <c r="M16" s="8">
        <v>73</v>
      </c>
      <c r="N16" s="8">
        <v>70</v>
      </c>
      <c r="O16" s="21" t="s">
        <v>264</v>
      </c>
    </row>
    <row r="17" spans="1:15" ht="18" x14ac:dyDescent="0.45">
      <c r="A17" s="5" t="s">
        <v>274</v>
      </c>
      <c r="B17" s="28" t="s">
        <v>268</v>
      </c>
      <c r="C17" s="28" t="s">
        <v>269</v>
      </c>
      <c r="D17" s="8">
        <v>270000</v>
      </c>
      <c r="E17" s="8">
        <v>240000</v>
      </c>
      <c r="F17" s="8">
        <v>310000</v>
      </c>
      <c r="G17" s="27">
        <v>0.4</v>
      </c>
      <c r="H17" s="8">
        <v>6100</v>
      </c>
      <c r="I17" s="30">
        <v>-58</v>
      </c>
      <c r="J17" s="8">
        <v>4100</v>
      </c>
      <c r="K17" s="30">
        <v>-14</v>
      </c>
      <c r="L17" s="8">
        <v>94</v>
      </c>
      <c r="M17" s="8">
        <v>75</v>
      </c>
      <c r="N17" s="8">
        <v>72</v>
      </c>
      <c r="O17" s="21" t="s">
        <v>264</v>
      </c>
    </row>
    <row r="18" spans="1:15" ht="18" x14ac:dyDescent="0.45">
      <c r="A18" s="5" t="s">
        <v>275</v>
      </c>
      <c r="B18" s="28" t="s">
        <v>268</v>
      </c>
      <c r="C18" s="28" t="s">
        <v>269</v>
      </c>
      <c r="D18" s="8">
        <v>250000</v>
      </c>
      <c r="E18" s="8">
        <v>210000</v>
      </c>
      <c r="F18" s="8">
        <v>290000</v>
      </c>
      <c r="G18" s="27">
        <v>0.4</v>
      </c>
      <c r="H18" s="8">
        <v>34000</v>
      </c>
      <c r="I18" s="30">
        <v>627</v>
      </c>
      <c r="J18" s="8">
        <v>2700</v>
      </c>
      <c r="K18" s="30">
        <v>713</v>
      </c>
      <c r="L18" s="8">
        <v>62</v>
      </c>
      <c r="M18" s="8">
        <v>41</v>
      </c>
      <c r="N18" s="8">
        <v>40</v>
      </c>
      <c r="O18" s="21" t="s">
        <v>264</v>
      </c>
    </row>
    <row r="19" spans="1:15" ht="18" x14ac:dyDescent="0.45">
      <c r="A19" s="5" t="s">
        <v>276</v>
      </c>
      <c r="B19" s="28" t="s">
        <v>268</v>
      </c>
      <c r="C19" s="28" t="s">
        <v>277</v>
      </c>
      <c r="D19" s="8">
        <v>85000</v>
      </c>
      <c r="E19" s="8">
        <v>76000</v>
      </c>
      <c r="F19" s="8">
        <v>94000</v>
      </c>
      <c r="G19" s="27">
        <v>0.3</v>
      </c>
      <c r="H19" s="8">
        <v>2900</v>
      </c>
      <c r="I19" s="30">
        <v>-53</v>
      </c>
      <c r="J19" s="8">
        <v>2000</v>
      </c>
      <c r="K19" s="30">
        <v>-41</v>
      </c>
      <c r="L19" s="8">
        <v>66</v>
      </c>
      <c r="M19" s="8">
        <v>63</v>
      </c>
      <c r="N19" s="8">
        <v>55</v>
      </c>
      <c r="O19" s="21" t="s">
        <v>264</v>
      </c>
    </row>
    <row r="20" spans="1:15" ht="18" x14ac:dyDescent="0.45">
      <c r="A20" s="5" t="s">
        <v>278</v>
      </c>
      <c r="B20" s="28" t="s">
        <v>268</v>
      </c>
      <c r="C20" s="28" t="s">
        <v>269</v>
      </c>
      <c r="D20" s="8">
        <v>76000</v>
      </c>
      <c r="E20" s="8">
        <v>64000</v>
      </c>
      <c r="F20" s="8">
        <v>87000</v>
      </c>
      <c r="G20" s="27">
        <v>0.5</v>
      </c>
      <c r="H20" s="8">
        <v>960</v>
      </c>
      <c r="I20" s="30">
        <v>-59</v>
      </c>
      <c r="J20" s="8">
        <v>1000</v>
      </c>
      <c r="K20" s="30">
        <v>-40</v>
      </c>
      <c r="L20" s="8">
        <v>95</v>
      </c>
      <c r="M20" s="8">
        <v>95</v>
      </c>
      <c r="N20" s="8">
        <v>93</v>
      </c>
      <c r="O20" s="21" t="s">
        <v>264</v>
      </c>
    </row>
    <row r="21" spans="1:15" ht="18" x14ac:dyDescent="0.45">
      <c r="A21" s="5" t="s">
        <v>279</v>
      </c>
      <c r="B21" s="28" t="s">
        <v>268</v>
      </c>
      <c r="C21" s="28" t="s">
        <v>269</v>
      </c>
      <c r="D21" s="8">
        <v>63000</v>
      </c>
      <c r="E21" s="8">
        <v>51000</v>
      </c>
      <c r="F21" s="8">
        <v>81000</v>
      </c>
      <c r="G21" s="27">
        <v>0.2</v>
      </c>
      <c r="H21" s="29" t="s">
        <v>37</v>
      </c>
      <c r="I21" s="29" t="s">
        <v>37</v>
      </c>
      <c r="J21" s="29" t="s">
        <v>37</v>
      </c>
      <c r="K21" s="29" t="s">
        <v>37</v>
      </c>
      <c r="L21" s="8">
        <v>84</v>
      </c>
      <c r="M21" s="8">
        <v>75</v>
      </c>
      <c r="N21" s="8">
        <v>68</v>
      </c>
      <c r="O21" s="21" t="s">
        <v>264</v>
      </c>
    </row>
    <row r="22" spans="1:15" ht="18" x14ac:dyDescent="0.45">
      <c r="A22" s="5" t="s">
        <v>280</v>
      </c>
      <c r="B22" s="28" t="s">
        <v>268</v>
      </c>
      <c r="C22" s="28" t="s">
        <v>269</v>
      </c>
      <c r="D22" s="8">
        <v>35000</v>
      </c>
      <c r="E22" s="8">
        <v>31000</v>
      </c>
      <c r="F22" s="8">
        <v>38000</v>
      </c>
      <c r="G22" s="27">
        <v>0.1</v>
      </c>
      <c r="H22" s="8">
        <v>550</v>
      </c>
      <c r="I22" s="30">
        <v>-79</v>
      </c>
      <c r="J22" s="8">
        <v>570</v>
      </c>
      <c r="K22" s="30">
        <v>-75</v>
      </c>
      <c r="L22" s="8">
        <v>92</v>
      </c>
      <c r="M22" s="8">
        <v>79</v>
      </c>
      <c r="N22" s="8">
        <v>77</v>
      </c>
      <c r="O22" s="21" t="s">
        <v>264</v>
      </c>
    </row>
    <row r="23" spans="1:15" ht="18" x14ac:dyDescent="0.45">
      <c r="A23" s="5" t="s">
        <v>281</v>
      </c>
      <c r="B23" s="28" t="s">
        <v>268</v>
      </c>
      <c r="C23" s="28" t="s">
        <v>269</v>
      </c>
      <c r="D23" s="8">
        <v>23000</v>
      </c>
      <c r="E23" s="8">
        <v>20000</v>
      </c>
      <c r="F23" s="8">
        <v>25000</v>
      </c>
      <c r="G23" s="27">
        <v>0.5</v>
      </c>
      <c r="H23" s="8">
        <v>1300</v>
      </c>
      <c r="I23" s="30">
        <v>11</v>
      </c>
      <c r="J23" s="31" t="s">
        <v>282</v>
      </c>
      <c r="K23" s="30">
        <v>36</v>
      </c>
      <c r="L23" s="8">
        <v>75</v>
      </c>
      <c r="M23" s="8">
        <v>64</v>
      </c>
      <c r="N23" s="8">
        <v>63</v>
      </c>
      <c r="O23" s="21" t="s">
        <v>264</v>
      </c>
    </row>
    <row r="24" spans="1:15" ht="18" x14ac:dyDescent="0.45">
      <c r="A24" s="5" t="s">
        <v>283</v>
      </c>
      <c r="B24" s="28" t="s">
        <v>268</v>
      </c>
      <c r="C24" s="28" t="s">
        <v>269</v>
      </c>
      <c r="D24" s="8">
        <v>19000</v>
      </c>
      <c r="E24" s="8">
        <v>17000</v>
      </c>
      <c r="F24" s="8">
        <v>21000</v>
      </c>
      <c r="G24" s="31" t="s">
        <v>284</v>
      </c>
      <c r="H24" s="8">
        <v>1500</v>
      </c>
      <c r="I24" s="30">
        <v>84</v>
      </c>
      <c r="J24" s="8">
        <v>570</v>
      </c>
      <c r="K24" s="30">
        <v>135</v>
      </c>
      <c r="L24" s="8">
        <v>63</v>
      </c>
      <c r="M24" s="8">
        <v>44</v>
      </c>
      <c r="N24" s="8">
        <v>40</v>
      </c>
      <c r="O24" s="21" t="s">
        <v>264</v>
      </c>
    </row>
    <row r="25" spans="1:15" ht="18" x14ac:dyDescent="0.45">
      <c r="A25" s="5" t="s">
        <v>285</v>
      </c>
      <c r="B25" s="28" t="s">
        <v>268</v>
      </c>
      <c r="C25" s="28" t="s">
        <v>277</v>
      </c>
      <c r="D25" s="8">
        <v>16000</v>
      </c>
      <c r="E25" s="8">
        <v>14000</v>
      </c>
      <c r="F25" s="8">
        <v>19000</v>
      </c>
      <c r="G25" s="27">
        <v>0.2</v>
      </c>
      <c r="H25" s="31" t="s">
        <v>282</v>
      </c>
      <c r="I25" s="30">
        <v>-69</v>
      </c>
      <c r="J25" s="31" t="s">
        <v>282</v>
      </c>
      <c r="K25" s="30">
        <v>-58</v>
      </c>
      <c r="L25" s="8">
        <v>83</v>
      </c>
      <c r="M25" s="8">
        <v>76</v>
      </c>
      <c r="N25" s="8">
        <v>70</v>
      </c>
      <c r="O25" s="21" t="s">
        <v>264</v>
      </c>
    </row>
    <row r="26" spans="1:15" ht="18" x14ac:dyDescent="0.45">
      <c r="A26" s="5" t="s">
        <v>286</v>
      </c>
      <c r="B26" s="28" t="s">
        <v>268</v>
      </c>
      <c r="C26" s="28" t="s">
        <v>277</v>
      </c>
      <c r="D26" s="8">
        <v>14000</v>
      </c>
      <c r="E26" s="8">
        <v>13000</v>
      </c>
      <c r="F26" s="8">
        <v>15000</v>
      </c>
      <c r="G26" s="27">
        <v>0.3</v>
      </c>
      <c r="H26" s="8">
        <v>1100</v>
      </c>
      <c r="I26" s="30">
        <v>106</v>
      </c>
      <c r="J26" s="31" t="s">
        <v>282</v>
      </c>
      <c r="K26" s="30">
        <v>10</v>
      </c>
      <c r="L26" s="8">
        <v>77</v>
      </c>
      <c r="M26" s="8">
        <v>55</v>
      </c>
      <c r="N26" s="29" t="s">
        <v>37</v>
      </c>
      <c r="O26" s="21" t="s">
        <v>264</v>
      </c>
    </row>
    <row r="27" spans="1:15" ht="18" x14ac:dyDescent="0.45">
      <c r="A27" s="5" t="s">
        <v>287</v>
      </c>
      <c r="B27" s="28" t="s">
        <v>268</v>
      </c>
      <c r="C27" s="28" t="s">
        <v>288</v>
      </c>
      <c r="D27" s="8">
        <v>9100</v>
      </c>
      <c r="E27" s="8">
        <v>7200</v>
      </c>
      <c r="F27" s="8">
        <v>12000</v>
      </c>
      <c r="G27" s="27">
        <v>1.6</v>
      </c>
      <c r="H27" s="8">
        <v>1700</v>
      </c>
      <c r="I27" s="30">
        <v>1121</v>
      </c>
      <c r="J27" s="31" t="s">
        <v>282</v>
      </c>
      <c r="K27" s="30">
        <v>1172</v>
      </c>
      <c r="L27" s="8">
        <v>39</v>
      </c>
      <c r="M27" s="8">
        <v>22</v>
      </c>
      <c r="N27" s="29" t="s">
        <v>37</v>
      </c>
      <c r="O27" s="21" t="s">
        <v>264</v>
      </c>
    </row>
    <row r="28" spans="1:15" ht="18" x14ac:dyDescent="0.45">
      <c r="A28" s="5" t="s">
        <v>289</v>
      </c>
      <c r="B28" s="28" t="s">
        <v>268</v>
      </c>
      <c r="C28" s="28" t="s">
        <v>269</v>
      </c>
      <c r="D28" s="8">
        <v>8700</v>
      </c>
      <c r="E28" s="8">
        <v>7800</v>
      </c>
      <c r="F28" s="8">
        <v>9600</v>
      </c>
      <c r="G28" s="31" t="s">
        <v>284</v>
      </c>
      <c r="H28" s="8">
        <v>860</v>
      </c>
      <c r="I28" s="30">
        <v>135</v>
      </c>
      <c r="J28" s="31" t="s">
        <v>290</v>
      </c>
      <c r="K28" s="30">
        <v>-47</v>
      </c>
      <c r="L28" s="8">
        <v>66</v>
      </c>
      <c r="M28" s="8">
        <v>52</v>
      </c>
      <c r="N28" s="8">
        <v>46</v>
      </c>
      <c r="O28" s="21" t="s">
        <v>264</v>
      </c>
    </row>
    <row r="29" spans="1:15" ht="18" x14ac:dyDescent="0.45">
      <c r="A29" s="5" t="s">
        <v>291</v>
      </c>
      <c r="B29" s="28" t="s">
        <v>268</v>
      </c>
      <c r="C29" s="28" t="s">
        <v>288</v>
      </c>
      <c r="D29" s="8">
        <v>2200</v>
      </c>
      <c r="E29" s="8">
        <v>1900</v>
      </c>
      <c r="F29" s="8">
        <v>2600</v>
      </c>
      <c r="G29" s="27">
        <v>0.3</v>
      </c>
      <c r="H29" s="31" t="s">
        <v>290</v>
      </c>
      <c r="I29" s="30">
        <v>26</v>
      </c>
      <c r="J29" s="31" t="s">
        <v>292</v>
      </c>
      <c r="K29" s="30">
        <v>-30</v>
      </c>
      <c r="L29" s="8">
        <v>89</v>
      </c>
      <c r="M29" s="8">
        <v>66</v>
      </c>
      <c r="N29" s="8">
        <v>46</v>
      </c>
      <c r="O29" s="21" t="s">
        <v>264</v>
      </c>
    </row>
    <row r="30" spans="1:15" ht="18" x14ac:dyDescent="0.45">
      <c r="A30" s="5" t="s">
        <v>293</v>
      </c>
      <c r="B30" s="28" t="s">
        <v>268</v>
      </c>
      <c r="C30" s="28" t="s">
        <v>288</v>
      </c>
      <c r="D30" s="8">
        <v>1200</v>
      </c>
      <c r="E30" s="8">
        <v>1000</v>
      </c>
      <c r="F30" s="8">
        <v>1400</v>
      </c>
      <c r="G30" s="27">
        <v>0.2</v>
      </c>
      <c r="H30" s="31" t="s">
        <v>292</v>
      </c>
      <c r="I30" s="30">
        <v>1</v>
      </c>
      <c r="J30" s="31" t="s">
        <v>292</v>
      </c>
      <c r="K30" s="30">
        <v>-49</v>
      </c>
      <c r="L30" s="8">
        <v>82</v>
      </c>
      <c r="M30" s="8">
        <v>69</v>
      </c>
      <c r="N30" s="8">
        <v>62</v>
      </c>
      <c r="O30" s="21" t="s">
        <v>264</v>
      </c>
    </row>
    <row r="31" spans="1:15" ht="18" x14ac:dyDescent="0.45">
      <c r="A31" s="5" t="s">
        <v>294</v>
      </c>
      <c r="B31" s="28" t="s">
        <v>268</v>
      </c>
      <c r="C31" s="28" t="s">
        <v>269</v>
      </c>
      <c r="D31" s="8">
        <v>700</v>
      </c>
      <c r="E31" s="8">
        <v>620</v>
      </c>
      <c r="F31" s="8">
        <v>780</v>
      </c>
      <c r="G31" s="31" t="s">
        <v>284</v>
      </c>
      <c r="H31" s="31" t="s">
        <v>292</v>
      </c>
      <c r="I31" s="30">
        <v>5</v>
      </c>
      <c r="J31" s="31" t="s">
        <v>292</v>
      </c>
      <c r="K31" s="30">
        <v>31</v>
      </c>
      <c r="L31" s="29" t="s">
        <v>37</v>
      </c>
      <c r="M31" s="8">
        <v>42</v>
      </c>
      <c r="N31" s="29" t="s">
        <v>37</v>
      </c>
      <c r="O31" s="21" t="s">
        <v>264</v>
      </c>
    </row>
    <row r="33" spans="1:13" ht="18" customHeight="1" x14ac:dyDescent="0.2">
      <c r="A33" s="38" t="s">
        <v>295</v>
      </c>
      <c r="B33" s="39"/>
      <c r="C33" s="39"/>
      <c r="D33" s="39"/>
      <c r="E33" s="39"/>
      <c r="F33" s="39"/>
      <c r="G33" s="39"/>
      <c r="H33" s="39"/>
      <c r="I33" s="39"/>
      <c r="J33" s="39"/>
      <c r="K33" s="39"/>
      <c r="L33" s="39"/>
      <c r="M33" s="39"/>
    </row>
    <row r="35" spans="1:13" ht="22.05" customHeight="1" x14ac:dyDescent="0.5">
      <c r="A35" s="14" t="s">
        <v>296</v>
      </c>
    </row>
    <row r="36" spans="1:13" ht="31.95" customHeight="1" x14ac:dyDescent="0.2">
      <c r="A36" s="40" t="s">
        <v>297</v>
      </c>
      <c r="B36" s="39"/>
      <c r="C36" s="39"/>
      <c r="D36" s="39"/>
      <c r="E36" s="39"/>
      <c r="F36" s="39"/>
      <c r="G36" s="39"/>
      <c r="H36" s="39"/>
      <c r="I36" s="39"/>
      <c r="J36" s="39"/>
      <c r="K36" s="39"/>
      <c r="L36" s="39"/>
      <c r="M36" s="39"/>
    </row>
    <row r="37" spans="1:13" ht="18" customHeight="1" x14ac:dyDescent="0.2">
      <c r="A37" s="40" t="s">
        <v>298</v>
      </c>
      <c r="B37" s="39"/>
      <c r="C37" s="39"/>
      <c r="D37" s="39"/>
      <c r="E37" s="39"/>
      <c r="F37" s="39"/>
      <c r="G37" s="39"/>
      <c r="H37" s="39"/>
      <c r="I37" s="39"/>
      <c r="J37" s="39"/>
      <c r="K37" s="39"/>
      <c r="L37" s="39"/>
      <c r="M37" s="39"/>
    </row>
    <row r="38" spans="1:13" ht="31.95" customHeight="1" x14ac:dyDescent="0.2">
      <c r="A38" s="40" t="s">
        <v>299</v>
      </c>
      <c r="B38" s="39"/>
      <c r="C38" s="39"/>
      <c r="D38" s="39"/>
      <c r="E38" s="39"/>
      <c r="F38" s="39"/>
      <c r="G38" s="39"/>
      <c r="H38" s="39"/>
      <c r="I38" s="39"/>
      <c r="J38" s="39"/>
      <c r="K38" s="39"/>
      <c r="L38" s="39"/>
      <c r="M38" s="39"/>
    </row>
    <row r="39" spans="1:13" ht="18" customHeight="1" x14ac:dyDescent="0.2">
      <c r="A39" s="40" t="s">
        <v>300</v>
      </c>
      <c r="B39" s="39"/>
      <c r="C39" s="39"/>
      <c r="D39" s="39"/>
      <c r="E39" s="39"/>
      <c r="F39" s="39"/>
      <c r="G39" s="39"/>
      <c r="H39" s="39"/>
      <c r="I39" s="39"/>
      <c r="J39" s="39"/>
      <c r="K39" s="39"/>
      <c r="L39" s="39"/>
      <c r="M39" s="39"/>
    </row>
    <row r="41" spans="1:13" ht="22.05" customHeight="1" x14ac:dyDescent="0.5">
      <c r="A41" s="14" t="s">
        <v>301</v>
      </c>
    </row>
    <row r="42" spans="1:13" ht="31.95" customHeight="1" x14ac:dyDescent="0.2">
      <c r="A42" s="40" t="s">
        <v>302</v>
      </c>
      <c r="B42" s="39"/>
      <c r="C42" s="39"/>
      <c r="D42" s="39"/>
      <c r="E42" s="39"/>
      <c r="F42" s="39"/>
      <c r="G42" s="39"/>
      <c r="H42" s="39"/>
      <c r="I42" s="39"/>
      <c r="J42" s="39"/>
      <c r="K42" s="39"/>
      <c r="L42" s="39"/>
      <c r="M42" s="39"/>
    </row>
    <row r="43" spans="1:13" ht="18" customHeight="1" x14ac:dyDescent="0.2">
      <c r="A43" s="40" t="s">
        <v>303</v>
      </c>
      <c r="B43" s="39"/>
      <c r="C43" s="39"/>
      <c r="D43" s="39"/>
      <c r="E43" s="39"/>
      <c r="F43" s="39"/>
      <c r="G43" s="39"/>
      <c r="H43" s="39"/>
      <c r="I43" s="39"/>
      <c r="J43" s="39"/>
      <c r="K43" s="39"/>
      <c r="L43" s="39"/>
      <c r="M43" s="39"/>
    </row>
    <row r="44" spans="1:13" ht="31.95" customHeight="1" x14ac:dyDescent="0.2">
      <c r="A44" s="40" t="s">
        <v>304</v>
      </c>
      <c r="B44" s="39"/>
      <c r="C44" s="39"/>
      <c r="D44" s="39"/>
      <c r="E44" s="39"/>
      <c r="F44" s="39"/>
      <c r="G44" s="39"/>
      <c r="H44" s="39"/>
      <c r="I44" s="39"/>
      <c r="J44" s="39"/>
      <c r="K44" s="39"/>
      <c r="L44" s="39"/>
      <c r="M44" s="39"/>
    </row>
    <row r="45" spans="1:13" ht="18" customHeight="1" x14ac:dyDescent="0.2">
      <c r="A45" s="40" t="s">
        <v>305</v>
      </c>
      <c r="B45" s="39"/>
      <c r="C45" s="39"/>
      <c r="D45" s="39"/>
      <c r="E45" s="39"/>
      <c r="F45" s="39"/>
      <c r="G45" s="39"/>
      <c r="H45" s="39"/>
      <c r="I45" s="39"/>
      <c r="J45" s="39"/>
      <c r="K45" s="39"/>
      <c r="L45" s="39"/>
      <c r="M45" s="39"/>
    </row>
    <row r="46" spans="1:13" ht="18" customHeight="1" x14ac:dyDescent="0.2">
      <c r="A46" s="40" t="s">
        <v>306</v>
      </c>
      <c r="B46" s="39"/>
      <c r="C46" s="39"/>
      <c r="D46" s="39"/>
      <c r="E46" s="39"/>
      <c r="F46" s="39"/>
      <c r="G46" s="39"/>
      <c r="H46" s="39"/>
      <c r="I46" s="39"/>
      <c r="J46" s="39"/>
      <c r="K46" s="39"/>
      <c r="L46" s="39"/>
      <c r="M46" s="39"/>
    </row>
    <row r="48" spans="1:13" ht="22.05" customHeight="1" x14ac:dyDescent="0.5">
      <c r="A48" s="14" t="s">
        <v>307</v>
      </c>
    </row>
    <row r="49" spans="1:13" ht="31.95" customHeight="1" x14ac:dyDescent="0.2">
      <c r="A49" s="40" t="s">
        <v>308</v>
      </c>
      <c r="B49" s="39"/>
      <c r="C49" s="39"/>
      <c r="D49" s="39"/>
      <c r="E49" s="39"/>
      <c r="F49" s="39"/>
      <c r="G49" s="39"/>
      <c r="H49" s="39"/>
      <c r="I49" s="39"/>
      <c r="J49" s="39"/>
      <c r="K49" s="39"/>
      <c r="L49" s="39"/>
      <c r="M49" s="39"/>
    </row>
    <row r="50" spans="1:13" ht="31.95" customHeight="1" x14ac:dyDescent="0.2">
      <c r="A50" s="40" t="s">
        <v>309</v>
      </c>
      <c r="B50" s="39"/>
      <c r="C50" s="39"/>
      <c r="D50" s="39"/>
      <c r="E50" s="39"/>
      <c r="F50" s="39"/>
      <c r="G50" s="39"/>
      <c r="H50" s="39"/>
      <c r="I50" s="39"/>
      <c r="J50" s="39"/>
      <c r="K50" s="39"/>
      <c r="L50" s="39"/>
      <c r="M50" s="39"/>
    </row>
    <row r="51" spans="1:13" ht="18" customHeight="1" x14ac:dyDescent="0.2">
      <c r="A51" s="40" t="s">
        <v>310</v>
      </c>
      <c r="B51" s="39"/>
      <c r="C51" s="39"/>
      <c r="D51" s="39"/>
      <c r="E51" s="39"/>
      <c r="F51" s="39"/>
      <c r="G51" s="39"/>
      <c r="H51" s="39"/>
      <c r="I51" s="39"/>
      <c r="J51" s="39"/>
      <c r="K51" s="39"/>
      <c r="L51" s="39"/>
      <c r="M51" s="39"/>
    </row>
    <row r="52" spans="1:13" ht="18" customHeight="1" x14ac:dyDescent="0.2">
      <c r="A52" s="40" t="s">
        <v>311</v>
      </c>
      <c r="B52" s="39"/>
      <c r="C52" s="39"/>
      <c r="D52" s="39"/>
      <c r="E52" s="39"/>
      <c r="F52" s="39"/>
      <c r="G52" s="39"/>
      <c r="H52" s="39"/>
      <c r="I52" s="39"/>
      <c r="J52" s="39"/>
      <c r="K52" s="39"/>
      <c r="L52" s="39"/>
      <c r="M52" s="39"/>
    </row>
    <row r="53" spans="1:13" ht="18" customHeight="1" x14ac:dyDescent="0.2">
      <c r="A53" s="40" t="s">
        <v>312</v>
      </c>
      <c r="B53" s="39"/>
      <c r="C53" s="39"/>
      <c r="D53" s="39"/>
      <c r="E53" s="39"/>
      <c r="F53" s="39"/>
      <c r="G53" s="39"/>
      <c r="H53" s="39"/>
      <c r="I53" s="39"/>
      <c r="J53" s="39"/>
      <c r="K53" s="39"/>
      <c r="L53" s="39"/>
      <c r="M53" s="39"/>
    </row>
    <row r="54" spans="1:13" ht="18" customHeight="1" x14ac:dyDescent="0.2">
      <c r="A54" s="40" t="s">
        <v>313</v>
      </c>
      <c r="B54" s="39"/>
      <c r="C54" s="39"/>
      <c r="D54" s="39"/>
      <c r="E54" s="39"/>
      <c r="F54" s="39"/>
      <c r="G54" s="39"/>
      <c r="H54" s="39"/>
      <c r="I54" s="39"/>
      <c r="J54" s="39"/>
      <c r="K54" s="39"/>
      <c r="L54" s="39"/>
      <c r="M54" s="39"/>
    </row>
    <row r="55" spans="1:13" ht="18" customHeight="1" x14ac:dyDescent="0.2">
      <c r="A55" s="40" t="s">
        <v>314</v>
      </c>
      <c r="B55" s="39"/>
      <c r="C55" s="39"/>
      <c r="D55" s="39"/>
      <c r="E55" s="39"/>
      <c r="F55" s="39"/>
      <c r="G55" s="39"/>
      <c r="H55" s="39"/>
      <c r="I55" s="39"/>
      <c r="J55" s="39"/>
      <c r="K55" s="39"/>
      <c r="L55" s="39"/>
      <c r="M55" s="39"/>
    </row>
    <row r="57" spans="1:13" ht="22.05" customHeight="1" x14ac:dyDescent="0.5">
      <c r="A57" s="14" t="s">
        <v>315</v>
      </c>
    </row>
    <row r="58" spans="1:13" ht="18" customHeight="1" x14ac:dyDescent="0.2">
      <c r="A58" s="40" t="s">
        <v>316</v>
      </c>
      <c r="B58" s="39"/>
      <c r="C58" s="39"/>
      <c r="D58" s="39"/>
      <c r="E58" s="39"/>
      <c r="F58" s="39"/>
      <c r="G58" s="39"/>
      <c r="H58" s="39"/>
      <c r="I58" s="39"/>
      <c r="J58" s="39"/>
      <c r="K58" s="39"/>
      <c r="L58" s="39"/>
      <c r="M58" s="39"/>
    </row>
    <row r="59" spans="1:13" ht="18" customHeight="1" x14ac:dyDescent="0.2">
      <c r="A59" s="40" t="s">
        <v>317</v>
      </c>
      <c r="B59" s="39"/>
      <c r="C59" s="39"/>
      <c r="D59" s="39"/>
      <c r="E59" s="39"/>
      <c r="F59" s="39"/>
      <c r="G59" s="39"/>
      <c r="H59" s="39"/>
      <c r="I59" s="39"/>
      <c r="J59" s="39"/>
      <c r="K59" s="39"/>
      <c r="L59" s="39"/>
      <c r="M59" s="39"/>
    </row>
    <row r="60" spans="1:13" ht="18" customHeight="1" x14ac:dyDescent="0.2">
      <c r="A60" s="40" t="s">
        <v>318</v>
      </c>
      <c r="B60" s="39"/>
      <c r="C60" s="39"/>
      <c r="D60" s="39"/>
      <c r="E60" s="39"/>
      <c r="F60" s="39"/>
      <c r="G60" s="39"/>
      <c r="H60" s="39"/>
      <c r="I60" s="39"/>
      <c r="J60" s="39"/>
      <c r="K60" s="39"/>
      <c r="L60" s="39"/>
      <c r="M60" s="39"/>
    </row>
    <row r="61" spans="1:13" ht="18" customHeight="1" x14ac:dyDescent="0.2">
      <c r="A61" s="40" t="s">
        <v>319</v>
      </c>
      <c r="B61" s="39"/>
      <c r="C61" s="39"/>
      <c r="D61" s="39"/>
      <c r="E61" s="39"/>
      <c r="F61" s="39"/>
      <c r="G61" s="39"/>
      <c r="H61" s="39"/>
      <c r="I61" s="39"/>
      <c r="J61" s="39"/>
      <c r="K61" s="39"/>
      <c r="L61" s="39"/>
      <c r="M61" s="39"/>
    </row>
    <row r="62" spans="1:13" ht="18" customHeight="1" x14ac:dyDescent="0.2">
      <c r="A62" s="40" t="s">
        <v>320</v>
      </c>
      <c r="B62" s="39"/>
      <c r="C62" s="39"/>
      <c r="D62" s="39"/>
      <c r="E62" s="39"/>
      <c r="F62" s="39"/>
      <c r="G62" s="39"/>
      <c r="H62" s="39"/>
      <c r="I62" s="39"/>
      <c r="J62" s="39"/>
      <c r="K62" s="39"/>
      <c r="L62" s="39"/>
      <c r="M62" s="39"/>
    </row>
    <row r="63" spans="1:13" ht="18" customHeight="1" x14ac:dyDescent="0.2">
      <c r="A63" s="40" t="s">
        <v>321</v>
      </c>
      <c r="B63" s="39"/>
      <c r="C63" s="39"/>
      <c r="D63" s="39"/>
      <c r="E63" s="39"/>
      <c r="F63" s="39"/>
      <c r="G63" s="39"/>
      <c r="H63" s="39"/>
      <c r="I63" s="39"/>
      <c r="J63" s="39"/>
      <c r="K63" s="39"/>
      <c r="L63" s="39"/>
      <c r="M63" s="39"/>
    </row>
  </sheetData>
  <mergeCells count="24">
    <mergeCell ref="A2:M2"/>
    <mergeCell ref="A42:M42"/>
    <mergeCell ref="A63:M63"/>
    <mergeCell ref="A52:M52"/>
    <mergeCell ref="A44:M44"/>
    <mergeCell ref="A58:M58"/>
    <mergeCell ref="A39:M39"/>
    <mergeCell ref="A59:M59"/>
    <mergeCell ref="A51:M51"/>
    <mergeCell ref="A49:M49"/>
    <mergeCell ref="A60:M60"/>
    <mergeCell ref="A45:M45"/>
    <mergeCell ref="A61:M61"/>
    <mergeCell ref="A54:M54"/>
    <mergeCell ref="A46:M46"/>
    <mergeCell ref="A50:M50"/>
    <mergeCell ref="A55:M55"/>
    <mergeCell ref="A33:M33"/>
    <mergeCell ref="A62:M62"/>
    <mergeCell ref="A53:M53"/>
    <mergeCell ref="A43:M43"/>
    <mergeCell ref="A38:M38"/>
    <mergeCell ref="A36:M36"/>
    <mergeCell ref="A37:M37"/>
  </mergeCells>
  <phoneticPr fontId="8"/>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117"/>
  <sheetViews>
    <sheetView showGridLines="0" workbookViewId="0"/>
  </sheetViews>
  <sheetFormatPr defaultRowHeight="13.2" x14ac:dyDescent="0.2"/>
  <cols>
    <col min="1" max="1" width="40" customWidth="1"/>
    <col min="2" max="11" width="15" customWidth="1"/>
  </cols>
  <sheetData>
    <row r="1" spans="1:9" ht="25.95" customHeight="1" x14ac:dyDescent="0.6">
      <c r="A1" s="1" t="s">
        <v>38</v>
      </c>
    </row>
    <row r="2" spans="1:9" ht="31.95" customHeight="1" x14ac:dyDescent="0.2">
      <c r="A2" s="38" t="s">
        <v>322</v>
      </c>
      <c r="B2" s="39"/>
      <c r="C2" s="39"/>
      <c r="D2" s="39"/>
      <c r="E2" s="39"/>
      <c r="F2" s="39"/>
      <c r="G2" s="39"/>
      <c r="H2" s="39"/>
      <c r="I2" s="39"/>
    </row>
    <row r="4" spans="1:9" ht="22.05" customHeight="1" x14ac:dyDescent="0.5">
      <c r="A4" s="14" t="s">
        <v>124</v>
      </c>
    </row>
    <row r="5" spans="1:9" ht="30" customHeight="1" x14ac:dyDescent="0.2">
      <c r="A5" s="4" t="s">
        <v>125</v>
      </c>
      <c r="B5" s="4" t="s">
        <v>128</v>
      </c>
      <c r="C5" s="4" t="s">
        <v>145</v>
      </c>
      <c r="D5" s="4" t="s">
        <v>146</v>
      </c>
      <c r="E5" s="4" t="s">
        <v>129</v>
      </c>
      <c r="F5" s="4" t="s">
        <v>130</v>
      </c>
      <c r="G5" s="4" t="s">
        <v>52</v>
      </c>
    </row>
    <row r="6" spans="1:9" ht="18" x14ac:dyDescent="0.45">
      <c r="A6" s="22">
        <v>2015</v>
      </c>
      <c r="B6" s="8">
        <v>2690</v>
      </c>
      <c r="C6" s="8">
        <v>1930</v>
      </c>
      <c r="D6" s="8">
        <v>760</v>
      </c>
      <c r="E6" s="23" t="s">
        <v>37</v>
      </c>
      <c r="F6" s="24" t="s">
        <v>131</v>
      </c>
      <c r="G6" s="21" t="s">
        <v>323</v>
      </c>
    </row>
    <row r="7" spans="1:9" ht="18" x14ac:dyDescent="0.45">
      <c r="A7" s="22">
        <v>2016</v>
      </c>
      <c r="B7" s="8">
        <v>4575</v>
      </c>
      <c r="C7" s="8">
        <v>3189</v>
      </c>
      <c r="D7" s="8">
        <v>1386</v>
      </c>
      <c r="E7" s="23">
        <f t="shared" ref="E7:E16" si="0">IF(B6="","",B7/B6-1)</f>
        <v>0.7007434944237918</v>
      </c>
      <c r="F7" s="24" t="s">
        <v>131</v>
      </c>
      <c r="G7" s="21" t="s">
        <v>323</v>
      </c>
    </row>
    <row r="8" spans="1:9" ht="18" x14ac:dyDescent="0.45">
      <c r="A8" s="22">
        <v>2017</v>
      </c>
      <c r="B8" s="8">
        <v>5826</v>
      </c>
      <c r="C8" s="8">
        <v>3931</v>
      </c>
      <c r="D8" s="8">
        <v>1895</v>
      </c>
      <c r="E8" s="23">
        <f t="shared" si="0"/>
        <v>0.27344262295081978</v>
      </c>
      <c r="F8" s="24" t="s">
        <v>131</v>
      </c>
      <c r="G8" s="21" t="s">
        <v>323</v>
      </c>
    </row>
    <row r="9" spans="1:9" ht="18" x14ac:dyDescent="0.45">
      <c r="A9" s="22">
        <v>2018</v>
      </c>
      <c r="B9" s="8">
        <v>7007</v>
      </c>
      <c r="C9" s="8">
        <v>4591</v>
      </c>
      <c r="D9" s="8">
        <v>2416</v>
      </c>
      <c r="E9" s="23">
        <f t="shared" si="0"/>
        <v>0.20271198077583241</v>
      </c>
      <c r="F9" s="24" t="s">
        <v>131</v>
      </c>
      <c r="G9" s="21" t="s">
        <v>323</v>
      </c>
    </row>
    <row r="10" spans="1:9" ht="18" x14ac:dyDescent="0.45">
      <c r="A10" s="22">
        <v>2019</v>
      </c>
      <c r="B10" s="8">
        <v>6642</v>
      </c>
      <c r="C10" s="8">
        <v>4387</v>
      </c>
      <c r="D10" s="8">
        <v>2255</v>
      </c>
      <c r="E10" s="23">
        <f t="shared" si="0"/>
        <v>-5.2090766376480691E-2</v>
      </c>
      <c r="F10" s="24" t="s">
        <v>131</v>
      </c>
      <c r="G10" s="21" t="s">
        <v>323</v>
      </c>
    </row>
    <row r="11" spans="1:9" ht="18" x14ac:dyDescent="0.45">
      <c r="A11" s="22">
        <v>2020</v>
      </c>
      <c r="B11" s="8">
        <v>5867</v>
      </c>
      <c r="C11" s="8">
        <v>3902</v>
      </c>
      <c r="D11" s="8">
        <v>1965</v>
      </c>
      <c r="E11" s="23">
        <f t="shared" si="0"/>
        <v>-0.1166817223727793</v>
      </c>
      <c r="F11" s="24" t="s">
        <v>131</v>
      </c>
      <c r="G11" s="21" t="s">
        <v>323</v>
      </c>
    </row>
    <row r="12" spans="1:9" ht="18" x14ac:dyDescent="0.45">
      <c r="A12" s="22">
        <v>2021</v>
      </c>
      <c r="B12" s="8">
        <v>7978</v>
      </c>
      <c r="C12" s="8">
        <v>5261</v>
      </c>
      <c r="D12" s="8">
        <v>2717</v>
      </c>
      <c r="E12" s="23">
        <f t="shared" si="0"/>
        <v>0.35980910175558201</v>
      </c>
      <c r="F12" s="24" t="s">
        <v>131</v>
      </c>
      <c r="G12" s="21" t="s">
        <v>323</v>
      </c>
    </row>
    <row r="13" spans="1:9" ht="18" x14ac:dyDescent="0.45">
      <c r="A13" s="22">
        <v>2022</v>
      </c>
      <c r="B13" s="8">
        <v>13221</v>
      </c>
      <c r="C13" s="8">
        <v>8701</v>
      </c>
      <c r="D13" s="8">
        <v>4519</v>
      </c>
      <c r="E13" s="23">
        <f t="shared" si="0"/>
        <v>0.65718225119077456</v>
      </c>
      <c r="F13" s="24" t="s">
        <v>131</v>
      </c>
      <c r="G13" s="21" t="s">
        <v>323</v>
      </c>
    </row>
    <row r="14" spans="1:9" ht="18" x14ac:dyDescent="0.45">
      <c r="A14" s="22">
        <v>2023</v>
      </c>
      <c r="B14" s="8">
        <v>15055</v>
      </c>
      <c r="C14" s="8">
        <v>9710</v>
      </c>
      <c r="D14" s="8">
        <v>5345</v>
      </c>
      <c r="E14" s="23">
        <f t="shared" si="0"/>
        <v>0.13871870509038642</v>
      </c>
      <c r="F14" s="24" t="s">
        <v>131</v>
      </c>
      <c r="G14" s="21" t="s">
        <v>323</v>
      </c>
    </row>
    <row r="15" spans="1:9" ht="18" x14ac:dyDescent="0.45">
      <c r="A15" s="22">
        <v>2024</v>
      </c>
      <c r="B15" s="8">
        <v>14829</v>
      </c>
      <c r="C15" s="8">
        <v>9504</v>
      </c>
      <c r="D15" s="8">
        <v>5324</v>
      </c>
      <c r="E15" s="23">
        <f t="shared" si="0"/>
        <v>-1.501162404516776E-2</v>
      </c>
      <c r="F15" s="24" t="s">
        <v>131</v>
      </c>
      <c r="G15" s="21" t="s">
        <v>323</v>
      </c>
    </row>
    <row r="16" spans="1:9" ht="18" x14ac:dyDescent="0.45">
      <c r="A16" s="32">
        <v>2025</v>
      </c>
      <c r="B16" s="12">
        <v>13530</v>
      </c>
      <c r="C16" s="12">
        <v>8565</v>
      </c>
      <c r="D16" s="12">
        <v>4963</v>
      </c>
      <c r="E16" s="33">
        <f t="shared" si="0"/>
        <v>-8.7598624317216212E-2</v>
      </c>
      <c r="F16" s="34" t="s">
        <v>140</v>
      </c>
      <c r="G16" s="35" t="s">
        <v>324</v>
      </c>
    </row>
    <row r="17" spans="1:9" ht="18" customHeight="1" x14ac:dyDescent="0.2">
      <c r="A17" s="38" t="s">
        <v>133</v>
      </c>
      <c r="B17" s="39"/>
      <c r="C17" s="39"/>
      <c r="D17" s="39"/>
      <c r="E17" s="39"/>
      <c r="F17" s="39"/>
      <c r="G17" s="39"/>
      <c r="H17" s="39"/>
      <c r="I17" s="39"/>
    </row>
    <row r="19" spans="1:9" ht="22.05" customHeight="1" x14ac:dyDescent="0.5">
      <c r="A19" s="14" t="s">
        <v>134</v>
      </c>
    </row>
    <row r="20" spans="1:9" ht="30" customHeight="1" x14ac:dyDescent="0.2">
      <c r="A20" s="4" t="s">
        <v>135</v>
      </c>
      <c r="B20" s="4" t="s">
        <v>136</v>
      </c>
      <c r="C20" s="4" t="s">
        <v>137</v>
      </c>
      <c r="D20" s="4" t="s">
        <v>138</v>
      </c>
      <c r="E20" s="4" t="s">
        <v>34</v>
      </c>
      <c r="F20" s="4" t="s">
        <v>130</v>
      </c>
      <c r="G20" s="4" t="s">
        <v>52</v>
      </c>
    </row>
    <row r="21" spans="1:9" ht="49.95" customHeight="1" x14ac:dyDescent="0.45">
      <c r="A21" s="3" t="s">
        <v>128</v>
      </c>
      <c r="B21" s="3" t="s">
        <v>325</v>
      </c>
      <c r="C21" s="8">
        <v>8942</v>
      </c>
      <c r="D21" s="8">
        <v>10985</v>
      </c>
      <c r="E21" s="9">
        <f>C21/D21-1</f>
        <v>-0.18598088302230309</v>
      </c>
      <c r="F21" s="24" t="s">
        <v>140</v>
      </c>
      <c r="G21" s="21" t="s">
        <v>326</v>
      </c>
    </row>
    <row r="22" spans="1:9" ht="18" customHeight="1" x14ac:dyDescent="0.2">
      <c r="A22" s="38" t="s">
        <v>327</v>
      </c>
      <c r="B22" s="39"/>
      <c r="C22" s="39"/>
      <c r="D22" s="39"/>
      <c r="E22" s="39"/>
      <c r="F22" s="39"/>
      <c r="G22" s="39"/>
      <c r="H22" s="39"/>
      <c r="I22" s="39"/>
    </row>
    <row r="24" spans="1:9" ht="22.05" customHeight="1" x14ac:dyDescent="0.5">
      <c r="A24" s="14" t="s">
        <v>328</v>
      </c>
    </row>
    <row r="25" spans="1:9" ht="30" customHeight="1" x14ac:dyDescent="0.2">
      <c r="A25" s="4" t="s">
        <v>130</v>
      </c>
      <c r="B25" s="4" t="s">
        <v>145</v>
      </c>
      <c r="C25" s="4" t="s">
        <v>146</v>
      </c>
      <c r="D25" s="4" t="s">
        <v>52</v>
      </c>
    </row>
    <row r="26" spans="1:9" ht="18" x14ac:dyDescent="0.45">
      <c r="A26" s="3" t="s">
        <v>13</v>
      </c>
      <c r="B26" s="8">
        <v>9504</v>
      </c>
      <c r="C26" s="8">
        <v>5324</v>
      </c>
      <c r="D26" s="21" t="s">
        <v>329</v>
      </c>
    </row>
    <row r="28" spans="1:9" ht="22.05" customHeight="1" x14ac:dyDescent="0.5">
      <c r="A28" s="14" t="s">
        <v>330</v>
      </c>
    </row>
    <row r="29" spans="1:9" ht="30" customHeight="1" x14ac:dyDescent="0.2">
      <c r="A29" s="4" t="s">
        <v>130</v>
      </c>
      <c r="B29" s="4" t="s">
        <v>145</v>
      </c>
      <c r="C29" s="4" t="s">
        <v>146</v>
      </c>
      <c r="D29" s="4" t="s">
        <v>128</v>
      </c>
      <c r="E29" s="4" t="s">
        <v>52</v>
      </c>
    </row>
    <row r="30" spans="1:9" ht="18" x14ac:dyDescent="0.45">
      <c r="A30" s="3" t="s">
        <v>331</v>
      </c>
      <c r="B30" s="8">
        <v>12</v>
      </c>
      <c r="C30" s="8">
        <v>18</v>
      </c>
      <c r="D30" s="8">
        <v>30</v>
      </c>
      <c r="E30" s="21" t="s">
        <v>329</v>
      </c>
    </row>
    <row r="31" spans="1:9" ht="18" x14ac:dyDescent="0.45">
      <c r="A31" s="3" t="s">
        <v>332</v>
      </c>
      <c r="B31" s="8">
        <v>0</v>
      </c>
      <c r="C31" s="8">
        <v>0</v>
      </c>
      <c r="D31" s="8">
        <v>0</v>
      </c>
      <c r="E31" s="21" t="s">
        <v>329</v>
      </c>
    </row>
    <row r="32" spans="1:9" ht="18" x14ac:dyDescent="0.45">
      <c r="A32" s="3" t="s">
        <v>333</v>
      </c>
      <c r="B32" s="8">
        <v>0</v>
      </c>
      <c r="C32" s="8">
        <v>0</v>
      </c>
      <c r="D32" s="8">
        <v>0</v>
      </c>
      <c r="E32" s="21" t="s">
        <v>329</v>
      </c>
    </row>
    <row r="33" spans="1:5" ht="18" x14ac:dyDescent="0.45">
      <c r="A33" s="3" t="s">
        <v>152</v>
      </c>
      <c r="B33" s="8">
        <v>0</v>
      </c>
      <c r="C33" s="8">
        <v>7</v>
      </c>
      <c r="D33" s="8">
        <v>7</v>
      </c>
      <c r="E33" s="21" t="s">
        <v>329</v>
      </c>
    </row>
    <row r="34" spans="1:5" ht="18" x14ac:dyDescent="0.45">
      <c r="A34" s="3" t="s">
        <v>153</v>
      </c>
      <c r="B34" s="8">
        <v>175</v>
      </c>
      <c r="C34" s="8">
        <v>452</v>
      </c>
      <c r="D34" s="8">
        <v>627</v>
      </c>
      <c r="E34" s="21" t="s">
        <v>329</v>
      </c>
    </row>
    <row r="35" spans="1:5" ht="18" x14ac:dyDescent="0.45">
      <c r="A35" s="3" t="s">
        <v>154</v>
      </c>
      <c r="B35" s="8">
        <v>954</v>
      </c>
      <c r="C35" s="8">
        <v>1951</v>
      </c>
      <c r="D35" s="8">
        <v>2905</v>
      </c>
      <c r="E35" s="21" t="s">
        <v>329</v>
      </c>
    </row>
    <row r="36" spans="1:5" ht="18" x14ac:dyDescent="0.45">
      <c r="A36" s="3" t="s">
        <v>155</v>
      </c>
      <c r="B36" s="8">
        <v>1176</v>
      </c>
      <c r="C36" s="8">
        <v>1096</v>
      </c>
      <c r="D36" s="8">
        <v>2272</v>
      </c>
      <c r="E36" s="21" t="s">
        <v>329</v>
      </c>
    </row>
    <row r="37" spans="1:5" ht="18" x14ac:dyDescent="0.45">
      <c r="A37" s="3" t="s">
        <v>156</v>
      </c>
      <c r="B37" s="8">
        <v>1053</v>
      </c>
      <c r="C37" s="8">
        <v>466</v>
      </c>
      <c r="D37" s="8">
        <v>1519</v>
      </c>
      <c r="E37" s="21" t="s">
        <v>329</v>
      </c>
    </row>
    <row r="38" spans="1:5" ht="18" x14ac:dyDescent="0.45">
      <c r="A38" s="3" t="s">
        <v>157</v>
      </c>
      <c r="B38" s="8">
        <v>1089</v>
      </c>
      <c r="C38" s="8">
        <v>317</v>
      </c>
      <c r="D38" s="8">
        <v>1406</v>
      </c>
      <c r="E38" s="21" t="s">
        <v>329</v>
      </c>
    </row>
    <row r="39" spans="1:5" ht="18" x14ac:dyDescent="0.45">
      <c r="A39" s="3" t="s">
        <v>158</v>
      </c>
      <c r="B39" s="8">
        <v>1139</v>
      </c>
      <c r="C39" s="8">
        <v>270</v>
      </c>
      <c r="D39" s="8">
        <v>1409</v>
      </c>
      <c r="E39" s="21" t="s">
        <v>329</v>
      </c>
    </row>
    <row r="40" spans="1:5" ht="18" x14ac:dyDescent="0.45">
      <c r="A40" s="3" t="s">
        <v>159</v>
      </c>
      <c r="B40" s="8">
        <v>1128</v>
      </c>
      <c r="C40" s="8">
        <v>255</v>
      </c>
      <c r="D40" s="8">
        <v>1383</v>
      </c>
      <c r="E40" s="21" t="s">
        <v>329</v>
      </c>
    </row>
    <row r="41" spans="1:5" ht="18" x14ac:dyDescent="0.45">
      <c r="A41" s="3" t="s">
        <v>160</v>
      </c>
      <c r="B41" s="8">
        <v>998</v>
      </c>
      <c r="C41" s="8">
        <v>195</v>
      </c>
      <c r="D41" s="8">
        <v>1193</v>
      </c>
      <c r="E41" s="21" t="s">
        <v>329</v>
      </c>
    </row>
    <row r="42" spans="1:5" ht="18" x14ac:dyDescent="0.45">
      <c r="A42" s="3" t="s">
        <v>161</v>
      </c>
      <c r="B42" s="8">
        <v>738</v>
      </c>
      <c r="C42" s="8">
        <v>101</v>
      </c>
      <c r="D42" s="8">
        <v>839</v>
      </c>
      <c r="E42" s="21" t="s">
        <v>329</v>
      </c>
    </row>
    <row r="43" spans="1:5" ht="18" x14ac:dyDescent="0.45">
      <c r="A43" s="3" t="s">
        <v>334</v>
      </c>
      <c r="B43" s="8">
        <v>441</v>
      </c>
      <c r="C43" s="8">
        <v>49</v>
      </c>
      <c r="D43" s="8">
        <v>491</v>
      </c>
      <c r="E43" s="21" t="s">
        <v>329</v>
      </c>
    </row>
    <row r="44" spans="1:5" ht="18" x14ac:dyDescent="0.45">
      <c r="A44" s="3" t="s">
        <v>335</v>
      </c>
      <c r="B44" s="8">
        <v>274</v>
      </c>
      <c r="C44" s="8">
        <v>29</v>
      </c>
      <c r="D44" s="8">
        <v>303</v>
      </c>
      <c r="E44" s="21" t="s">
        <v>329</v>
      </c>
    </row>
    <row r="45" spans="1:5" ht="18" x14ac:dyDescent="0.45">
      <c r="A45" s="3" t="s">
        <v>336</v>
      </c>
      <c r="B45" s="8">
        <v>327</v>
      </c>
      <c r="C45" s="8">
        <v>118</v>
      </c>
      <c r="D45" s="8">
        <v>445</v>
      </c>
      <c r="E45" s="21" t="s">
        <v>329</v>
      </c>
    </row>
    <row r="47" spans="1:5" ht="22.05" customHeight="1" x14ac:dyDescent="0.5">
      <c r="A47" s="14" t="s">
        <v>337</v>
      </c>
    </row>
    <row r="48" spans="1:5" ht="30" customHeight="1" x14ac:dyDescent="0.2">
      <c r="A48" s="4" t="s">
        <v>130</v>
      </c>
      <c r="B48" s="4" t="s">
        <v>166</v>
      </c>
      <c r="C48" s="4" t="s">
        <v>338</v>
      </c>
      <c r="D48" s="4" t="s">
        <v>339</v>
      </c>
      <c r="E48" s="4" t="s">
        <v>52</v>
      </c>
    </row>
    <row r="49" spans="1:5" ht="18" x14ac:dyDescent="0.45">
      <c r="A49" s="3" t="s">
        <v>170</v>
      </c>
      <c r="B49" s="25">
        <v>1</v>
      </c>
      <c r="C49" s="8">
        <v>3743</v>
      </c>
      <c r="D49" s="27">
        <v>27.8</v>
      </c>
      <c r="E49" s="21" t="s">
        <v>329</v>
      </c>
    </row>
    <row r="50" spans="1:5" ht="18" x14ac:dyDescent="0.45">
      <c r="A50" s="3" t="s">
        <v>172</v>
      </c>
      <c r="B50" s="25">
        <v>2</v>
      </c>
      <c r="C50" s="8">
        <v>1951</v>
      </c>
      <c r="D50" s="27">
        <v>23.1</v>
      </c>
      <c r="E50" s="21" t="s">
        <v>329</v>
      </c>
    </row>
    <row r="51" spans="1:5" ht="18" x14ac:dyDescent="0.45">
      <c r="A51" s="3" t="s">
        <v>175</v>
      </c>
      <c r="B51" s="25">
        <v>3</v>
      </c>
      <c r="C51" s="8">
        <v>880</v>
      </c>
      <c r="D51" s="29" t="s">
        <v>340</v>
      </c>
      <c r="E51" s="21" t="s">
        <v>329</v>
      </c>
    </row>
    <row r="52" spans="1:5" ht="18" x14ac:dyDescent="0.45">
      <c r="A52" s="3" t="s">
        <v>174</v>
      </c>
      <c r="B52" s="25">
        <v>4</v>
      </c>
      <c r="C52" s="8">
        <v>850</v>
      </c>
      <c r="D52" s="29" t="s">
        <v>340</v>
      </c>
      <c r="E52" s="21" t="s">
        <v>329</v>
      </c>
    </row>
    <row r="53" spans="1:5" ht="18" x14ac:dyDescent="0.45">
      <c r="A53" s="3" t="s">
        <v>173</v>
      </c>
      <c r="B53" s="25">
        <v>5</v>
      </c>
      <c r="C53" s="8">
        <v>800</v>
      </c>
      <c r="D53" s="29" t="s">
        <v>340</v>
      </c>
      <c r="E53" s="21" t="s">
        <v>329</v>
      </c>
    </row>
    <row r="55" spans="1:5" ht="22.05" customHeight="1" x14ac:dyDescent="0.5">
      <c r="A55" s="14" t="s">
        <v>341</v>
      </c>
    </row>
    <row r="56" spans="1:5" ht="30" customHeight="1" x14ac:dyDescent="0.2">
      <c r="A56" s="4" t="s">
        <v>130</v>
      </c>
      <c r="B56" s="4" t="s">
        <v>145</v>
      </c>
      <c r="C56" s="4" t="s">
        <v>146</v>
      </c>
      <c r="D56" s="4" t="s">
        <v>128</v>
      </c>
      <c r="E56" s="4" t="s">
        <v>52</v>
      </c>
    </row>
    <row r="57" spans="1:5" ht="18" x14ac:dyDescent="0.45">
      <c r="A57" s="3" t="s">
        <v>342</v>
      </c>
      <c r="B57" s="8">
        <v>5135</v>
      </c>
      <c r="C57" s="8">
        <v>1240</v>
      </c>
      <c r="D57" s="8">
        <v>6375</v>
      </c>
      <c r="E57" s="21" t="s">
        <v>343</v>
      </c>
    </row>
    <row r="58" spans="1:5" ht="18" x14ac:dyDescent="0.45">
      <c r="A58" s="3" t="s">
        <v>344</v>
      </c>
      <c r="B58" s="8">
        <v>2477</v>
      </c>
      <c r="C58" s="8">
        <v>2118</v>
      </c>
      <c r="D58" s="8">
        <v>4596</v>
      </c>
      <c r="E58" s="21" t="s">
        <v>343</v>
      </c>
    </row>
    <row r="59" spans="1:5" ht="18" x14ac:dyDescent="0.45">
      <c r="A59" s="3" t="s">
        <v>345</v>
      </c>
      <c r="B59" s="8">
        <v>156</v>
      </c>
      <c r="C59" s="8">
        <v>45</v>
      </c>
      <c r="D59" s="8">
        <v>201</v>
      </c>
      <c r="E59" s="21" t="s">
        <v>343</v>
      </c>
    </row>
    <row r="60" spans="1:5" ht="18" x14ac:dyDescent="0.45">
      <c r="A60" s="3" t="s">
        <v>346</v>
      </c>
      <c r="B60" s="8">
        <v>1724</v>
      </c>
      <c r="C60" s="8">
        <v>1903</v>
      </c>
      <c r="D60" s="8">
        <v>3627</v>
      </c>
      <c r="E60" s="21" t="s">
        <v>343</v>
      </c>
    </row>
    <row r="61" spans="1:5" ht="18" x14ac:dyDescent="0.45">
      <c r="A61" s="3" t="s">
        <v>347</v>
      </c>
      <c r="B61" s="8">
        <v>12</v>
      </c>
      <c r="C61" s="8">
        <v>18</v>
      </c>
      <c r="D61" s="8">
        <v>30</v>
      </c>
      <c r="E61" s="21" t="s">
        <v>343</v>
      </c>
    </row>
    <row r="63" spans="1:5" ht="22.05" customHeight="1" x14ac:dyDescent="0.5">
      <c r="A63" s="14" t="s">
        <v>348</v>
      </c>
    </row>
    <row r="64" spans="1:5" ht="30" customHeight="1" x14ac:dyDescent="0.2">
      <c r="A64" s="4" t="s">
        <v>130</v>
      </c>
      <c r="B64" s="4" t="s">
        <v>128</v>
      </c>
      <c r="C64" s="4" t="s">
        <v>52</v>
      </c>
    </row>
    <row r="65" spans="1:5" ht="18" x14ac:dyDescent="0.45">
      <c r="A65" s="3" t="s">
        <v>349</v>
      </c>
      <c r="B65" s="8">
        <v>14</v>
      </c>
      <c r="C65" s="21" t="s">
        <v>350</v>
      </c>
    </row>
    <row r="66" spans="1:5" ht="18" x14ac:dyDescent="0.45">
      <c r="A66" s="3" t="s">
        <v>351</v>
      </c>
      <c r="B66" s="8">
        <v>15</v>
      </c>
      <c r="C66" s="21" t="s">
        <v>350</v>
      </c>
    </row>
    <row r="67" spans="1:5" ht="18" x14ac:dyDescent="0.45">
      <c r="A67" s="3" t="s">
        <v>352</v>
      </c>
      <c r="B67" s="8">
        <v>9</v>
      </c>
      <c r="C67" s="21" t="s">
        <v>350</v>
      </c>
    </row>
    <row r="68" spans="1:5" ht="18" x14ac:dyDescent="0.45">
      <c r="A68" s="3" t="s">
        <v>353</v>
      </c>
      <c r="B68" s="8">
        <v>17</v>
      </c>
      <c r="C68" s="21" t="s">
        <v>350</v>
      </c>
    </row>
    <row r="69" spans="1:5" ht="18" x14ac:dyDescent="0.45">
      <c r="A69" s="3" t="s">
        <v>203</v>
      </c>
      <c r="B69" s="8">
        <v>23</v>
      </c>
      <c r="C69" s="21" t="s">
        <v>350</v>
      </c>
    </row>
    <row r="70" spans="1:5" ht="18" x14ac:dyDescent="0.45">
      <c r="A70" s="3" t="s">
        <v>204</v>
      </c>
      <c r="B70" s="8">
        <v>19</v>
      </c>
      <c r="C70" s="21" t="s">
        <v>350</v>
      </c>
    </row>
    <row r="71" spans="1:5" ht="18" x14ac:dyDescent="0.45">
      <c r="A71" s="3" t="s">
        <v>205</v>
      </c>
      <c r="B71" s="8">
        <v>20</v>
      </c>
      <c r="C71" s="21" t="s">
        <v>350</v>
      </c>
    </row>
    <row r="72" spans="1:5" ht="18" x14ac:dyDescent="0.45">
      <c r="A72" s="3" t="s">
        <v>206</v>
      </c>
      <c r="B72" s="8">
        <v>20</v>
      </c>
      <c r="C72" s="21" t="s">
        <v>350</v>
      </c>
    </row>
    <row r="73" spans="1:5" ht="18" x14ac:dyDescent="0.45">
      <c r="A73" s="3" t="s">
        <v>207</v>
      </c>
      <c r="B73" s="8">
        <v>37</v>
      </c>
      <c r="C73" s="21" t="s">
        <v>350</v>
      </c>
    </row>
    <row r="74" spans="1:5" ht="18" x14ac:dyDescent="0.45">
      <c r="A74" s="3" t="s">
        <v>208</v>
      </c>
      <c r="B74" s="8">
        <v>30</v>
      </c>
      <c r="C74" s="21" t="s">
        <v>350</v>
      </c>
    </row>
    <row r="76" spans="1:5" ht="22.05" customHeight="1" x14ac:dyDescent="0.5">
      <c r="A76" s="14" t="s">
        <v>354</v>
      </c>
    </row>
    <row r="77" spans="1:5" ht="30" customHeight="1" x14ac:dyDescent="0.2">
      <c r="A77" s="4" t="s">
        <v>130</v>
      </c>
      <c r="B77" s="4" t="s">
        <v>145</v>
      </c>
      <c r="C77" s="4" t="s">
        <v>146</v>
      </c>
      <c r="D77" s="4" t="s">
        <v>128</v>
      </c>
      <c r="E77" s="4" t="s">
        <v>52</v>
      </c>
    </row>
    <row r="78" spans="1:5" ht="18" x14ac:dyDescent="0.45">
      <c r="A78" s="3" t="s">
        <v>355</v>
      </c>
      <c r="B78" s="8">
        <v>6332</v>
      </c>
      <c r="C78" s="8">
        <v>4329</v>
      </c>
      <c r="D78" s="8">
        <v>10661</v>
      </c>
      <c r="E78" s="21" t="s">
        <v>343</v>
      </c>
    </row>
    <row r="79" spans="1:5" ht="18" x14ac:dyDescent="0.45">
      <c r="A79" s="3" t="s">
        <v>356</v>
      </c>
      <c r="B79" s="8">
        <v>48</v>
      </c>
      <c r="C79" s="8">
        <v>4</v>
      </c>
      <c r="D79" s="8">
        <v>52</v>
      </c>
      <c r="E79" s="21" t="s">
        <v>343</v>
      </c>
    </row>
    <row r="80" spans="1:5" ht="18" x14ac:dyDescent="0.45">
      <c r="A80" s="3" t="s">
        <v>357</v>
      </c>
      <c r="B80" s="8">
        <v>1223</v>
      </c>
      <c r="C80" s="8">
        <v>49</v>
      </c>
      <c r="D80" s="8">
        <v>1273</v>
      </c>
      <c r="E80" s="21" t="s">
        <v>343</v>
      </c>
    </row>
    <row r="81" spans="1:9" ht="18" x14ac:dyDescent="0.45">
      <c r="A81" s="3" t="s">
        <v>358</v>
      </c>
      <c r="B81" s="8">
        <v>898</v>
      </c>
      <c r="C81" s="8">
        <v>394</v>
      </c>
      <c r="D81" s="8">
        <v>1292</v>
      </c>
      <c r="E81" s="21" t="s">
        <v>343</v>
      </c>
    </row>
    <row r="82" spans="1:9" ht="18" x14ac:dyDescent="0.45">
      <c r="A82" s="3" t="s">
        <v>191</v>
      </c>
      <c r="B82" s="8">
        <v>13</v>
      </c>
      <c r="C82" s="8">
        <v>23</v>
      </c>
      <c r="D82" s="8">
        <v>36</v>
      </c>
      <c r="E82" s="21" t="s">
        <v>343</v>
      </c>
    </row>
    <row r="83" spans="1:9" ht="18" x14ac:dyDescent="0.45">
      <c r="A83" s="3" t="s">
        <v>359</v>
      </c>
      <c r="B83" s="8">
        <v>999</v>
      </c>
      <c r="C83" s="8">
        <v>533</v>
      </c>
      <c r="D83" s="8">
        <v>1532</v>
      </c>
      <c r="E83" s="21" t="s">
        <v>343</v>
      </c>
    </row>
    <row r="85" spans="1:9" ht="22.05" customHeight="1" x14ac:dyDescent="0.5">
      <c r="A85" s="14" t="s">
        <v>360</v>
      </c>
    </row>
    <row r="86" spans="1:9" ht="30" customHeight="1" x14ac:dyDescent="0.2">
      <c r="A86" s="4" t="s">
        <v>130</v>
      </c>
      <c r="B86" s="4" t="s">
        <v>128</v>
      </c>
      <c r="C86" s="4" t="s">
        <v>52</v>
      </c>
    </row>
    <row r="87" spans="1:9" ht="18" x14ac:dyDescent="0.45">
      <c r="A87" s="3" t="s">
        <v>361</v>
      </c>
      <c r="B87" s="8">
        <v>3596</v>
      </c>
      <c r="C87" s="21" t="s">
        <v>362</v>
      </c>
    </row>
    <row r="88" spans="1:9" ht="18" x14ac:dyDescent="0.45">
      <c r="A88" s="3" t="s">
        <v>363</v>
      </c>
      <c r="B88" s="8">
        <v>2999</v>
      </c>
      <c r="C88" s="21" t="s">
        <v>362</v>
      </c>
    </row>
    <row r="89" spans="1:9" ht="18" x14ac:dyDescent="0.45">
      <c r="A89" s="3" t="s">
        <v>364</v>
      </c>
      <c r="B89" s="8">
        <v>2665</v>
      </c>
      <c r="C89" s="21" t="s">
        <v>362</v>
      </c>
    </row>
    <row r="90" spans="1:9" ht="18" x14ac:dyDescent="0.45">
      <c r="A90" s="3" t="s">
        <v>365</v>
      </c>
      <c r="B90" s="8">
        <v>3110</v>
      </c>
      <c r="C90" s="21" t="s">
        <v>362</v>
      </c>
    </row>
    <row r="91" spans="1:9" ht="18" x14ac:dyDescent="0.45">
      <c r="A91" s="3" t="s">
        <v>366</v>
      </c>
      <c r="B91" s="8">
        <v>2716</v>
      </c>
      <c r="C91" s="21" t="s">
        <v>362</v>
      </c>
    </row>
    <row r="93" spans="1:9" ht="22.05" customHeight="1" x14ac:dyDescent="0.5">
      <c r="A93" s="14" t="s">
        <v>224</v>
      </c>
    </row>
    <row r="94" spans="1:9" ht="31.95" customHeight="1" x14ac:dyDescent="0.2">
      <c r="A94" s="40" t="s">
        <v>367</v>
      </c>
      <c r="B94" s="39"/>
      <c r="C94" s="39"/>
      <c r="D94" s="39"/>
      <c r="E94" s="39"/>
      <c r="F94" s="39"/>
      <c r="G94" s="39"/>
      <c r="H94" s="39"/>
      <c r="I94" s="39"/>
    </row>
    <row r="95" spans="1:9" ht="18" customHeight="1" x14ac:dyDescent="0.2">
      <c r="A95" s="40" t="s">
        <v>368</v>
      </c>
      <c r="B95" s="39"/>
      <c r="C95" s="39"/>
      <c r="D95" s="39"/>
      <c r="E95" s="39"/>
      <c r="F95" s="39"/>
      <c r="G95" s="39"/>
      <c r="H95" s="39"/>
      <c r="I95" s="39"/>
    </row>
    <row r="96" spans="1:9" ht="31.95" customHeight="1" x14ac:dyDescent="0.2">
      <c r="A96" s="40" t="s">
        <v>369</v>
      </c>
      <c r="B96" s="39"/>
      <c r="C96" s="39"/>
      <c r="D96" s="39"/>
      <c r="E96" s="39"/>
      <c r="F96" s="39"/>
      <c r="G96" s="39"/>
      <c r="H96" s="39"/>
      <c r="I96" s="39"/>
    </row>
    <row r="97" spans="1:9" ht="31.95" customHeight="1" x14ac:dyDescent="0.2">
      <c r="A97" s="40" t="s">
        <v>370</v>
      </c>
      <c r="B97" s="39"/>
      <c r="C97" s="39"/>
      <c r="D97" s="39"/>
      <c r="E97" s="39"/>
      <c r="F97" s="39"/>
      <c r="G97" s="39"/>
      <c r="H97" s="39"/>
      <c r="I97" s="39"/>
    </row>
    <row r="98" spans="1:9" ht="31.95" customHeight="1" x14ac:dyDescent="0.2">
      <c r="A98" s="40" t="s">
        <v>371</v>
      </c>
      <c r="B98" s="39"/>
      <c r="C98" s="39"/>
      <c r="D98" s="39"/>
      <c r="E98" s="39"/>
      <c r="F98" s="39"/>
      <c r="G98" s="39"/>
      <c r="H98" s="39"/>
      <c r="I98" s="39"/>
    </row>
    <row r="100" spans="1:9" ht="22.05" customHeight="1" x14ac:dyDescent="0.5">
      <c r="A100" s="14" t="s">
        <v>230</v>
      </c>
    </row>
    <row r="101" spans="1:9" ht="48" customHeight="1" x14ac:dyDescent="0.2">
      <c r="A101" s="40" t="s">
        <v>372</v>
      </c>
      <c r="B101" s="39"/>
      <c r="C101" s="39"/>
      <c r="D101" s="39"/>
      <c r="E101" s="39"/>
      <c r="F101" s="39"/>
      <c r="G101" s="39"/>
      <c r="H101" s="39"/>
      <c r="I101" s="39"/>
    </row>
    <row r="102" spans="1:9" ht="31.95" customHeight="1" x14ac:dyDescent="0.2">
      <c r="A102" s="40" t="s">
        <v>373</v>
      </c>
      <c r="B102" s="39"/>
      <c r="C102" s="39"/>
      <c r="D102" s="39"/>
      <c r="E102" s="39"/>
      <c r="F102" s="39"/>
      <c r="G102" s="39"/>
      <c r="H102" s="39"/>
      <c r="I102" s="39"/>
    </row>
    <row r="103" spans="1:9" ht="18" customHeight="1" x14ac:dyDescent="0.2">
      <c r="A103" s="40" t="s">
        <v>374</v>
      </c>
      <c r="B103" s="39"/>
      <c r="C103" s="39"/>
      <c r="D103" s="39"/>
      <c r="E103" s="39"/>
      <c r="F103" s="39"/>
      <c r="G103" s="39"/>
      <c r="H103" s="39"/>
      <c r="I103" s="39"/>
    </row>
    <row r="104" spans="1:9" ht="31.95" customHeight="1" x14ac:dyDescent="0.2">
      <c r="A104" s="40" t="s">
        <v>375</v>
      </c>
      <c r="B104" s="39"/>
      <c r="C104" s="39"/>
      <c r="D104" s="39"/>
      <c r="E104" s="39"/>
      <c r="F104" s="39"/>
      <c r="G104" s="39"/>
      <c r="H104" s="39"/>
      <c r="I104" s="39"/>
    </row>
    <row r="106" spans="1:9" ht="22.05" customHeight="1" x14ac:dyDescent="0.5">
      <c r="A106" s="14" t="s">
        <v>235</v>
      </c>
    </row>
    <row r="107" spans="1:9" ht="18" customHeight="1" x14ac:dyDescent="0.2">
      <c r="A107" s="40" t="s">
        <v>98</v>
      </c>
      <c r="B107" s="39"/>
      <c r="C107" s="39"/>
      <c r="D107" s="39"/>
      <c r="E107" s="39"/>
      <c r="F107" s="39"/>
      <c r="G107" s="39"/>
      <c r="H107" s="39"/>
      <c r="I107" s="39"/>
    </row>
    <row r="108" spans="1:9" ht="31.95" customHeight="1" x14ac:dyDescent="0.2">
      <c r="A108" s="40" t="s">
        <v>99</v>
      </c>
      <c r="B108" s="39"/>
      <c r="C108" s="39"/>
      <c r="D108" s="39"/>
      <c r="E108" s="39"/>
      <c r="F108" s="39"/>
      <c r="G108" s="39"/>
      <c r="H108" s="39"/>
      <c r="I108" s="39"/>
    </row>
    <row r="109" spans="1:9" ht="31.95" customHeight="1" x14ac:dyDescent="0.2">
      <c r="A109" s="40" t="s">
        <v>100</v>
      </c>
      <c r="B109" s="39"/>
      <c r="C109" s="39"/>
      <c r="D109" s="39"/>
      <c r="E109" s="39"/>
      <c r="F109" s="39"/>
      <c r="G109" s="39"/>
      <c r="H109" s="39"/>
      <c r="I109" s="39"/>
    </row>
    <row r="110" spans="1:9" ht="31.95" customHeight="1" x14ac:dyDescent="0.2">
      <c r="A110" s="40" t="s">
        <v>101</v>
      </c>
      <c r="B110" s="39"/>
      <c r="C110" s="39"/>
      <c r="D110" s="39"/>
      <c r="E110" s="39"/>
      <c r="F110" s="39"/>
      <c r="G110" s="39"/>
      <c r="H110" s="39"/>
      <c r="I110" s="39"/>
    </row>
    <row r="111" spans="1:9" ht="18" customHeight="1" x14ac:dyDescent="0.2">
      <c r="A111" s="38" t="s">
        <v>236</v>
      </c>
      <c r="B111" s="39"/>
      <c r="C111" s="39"/>
      <c r="D111" s="39"/>
      <c r="E111" s="39"/>
      <c r="F111" s="39"/>
      <c r="G111" s="39"/>
      <c r="H111" s="39"/>
      <c r="I111" s="39"/>
    </row>
    <row r="113" spans="1:9" ht="22.05" customHeight="1" x14ac:dyDescent="0.5">
      <c r="A113" s="14" t="s">
        <v>237</v>
      </c>
    </row>
    <row r="114" spans="1:9" ht="18" customHeight="1" x14ac:dyDescent="0.2">
      <c r="A114" s="40" t="s">
        <v>376</v>
      </c>
      <c r="B114" s="39"/>
      <c r="C114" s="39"/>
      <c r="D114" s="39"/>
      <c r="E114" s="39"/>
      <c r="F114" s="39"/>
      <c r="G114" s="39"/>
      <c r="H114" s="39"/>
      <c r="I114" s="39"/>
    </row>
    <row r="115" spans="1:9" ht="18" customHeight="1" x14ac:dyDescent="0.2">
      <c r="A115" s="40" t="s">
        <v>377</v>
      </c>
      <c r="B115" s="39"/>
      <c r="C115" s="39"/>
      <c r="D115" s="39"/>
      <c r="E115" s="39"/>
      <c r="F115" s="39"/>
      <c r="G115" s="39"/>
      <c r="H115" s="39"/>
      <c r="I115" s="39"/>
    </row>
    <row r="116" spans="1:9" ht="31.95" customHeight="1" x14ac:dyDescent="0.2">
      <c r="A116" s="40" t="s">
        <v>378</v>
      </c>
      <c r="B116" s="39"/>
      <c r="C116" s="39"/>
      <c r="D116" s="39"/>
      <c r="E116" s="39"/>
      <c r="F116" s="39"/>
      <c r="G116" s="39"/>
      <c r="H116" s="39"/>
      <c r="I116" s="39"/>
    </row>
    <row r="117" spans="1:9" ht="18" customHeight="1" x14ac:dyDescent="0.2">
      <c r="A117" s="40" t="s">
        <v>379</v>
      </c>
      <c r="B117" s="39"/>
      <c r="C117" s="39"/>
      <c r="D117" s="39"/>
      <c r="E117" s="39"/>
      <c r="F117" s="39"/>
      <c r="G117" s="39"/>
      <c r="H117" s="39"/>
      <c r="I117" s="39"/>
    </row>
  </sheetData>
  <mergeCells count="21">
    <mergeCell ref="A117:I117"/>
    <mergeCell ref="A111:I111"/>
    <mergeCell ref="A102:I102"/>
    <mergeCell ref="A114:I114"/>
    <mergeCell ref="A98:I98"/>
    <mergeCell ref="A107:I107"/>
    <mergeCell ref="A103:I103"/>
    <mergeCell ref="A110:I110"/>
    <mergeCell ref="A116:I116"/>
    <mergeCell ref="A17:I17"/>
    <mergeCell ref="A97:I97"/>
    <mergeCell ref="A22:I22"/>
    <mergeCell ref="A109:I109"/>
    <mergeCell ref="A96:I96"/>
    <mergeCell ref="A115:I115"/>
    <mergeCell ref="A94:I94"/>
    <mergeCell ref="A108:I108"/>
    <mergeCell ref="A101:I101"/>
    <mergeCell ref="A104:I104"/>
    <mergeCell ref="A95:I95"/>
    <mergeCell ref="A2:I2"/>
  </mergeCells>
  <phoneticPr fontId="8"/>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158"/>
  <sheetViews>
    <sheetView showGridLines="0" workbookViewId="0"/>
  </sheetViews>
  <sheetFormatPr defaultRowHeight="13.2" x14ac:dyDescent="0.2"/>
  <cols>
    <col min="1" max="1" width="40" customWidth="1"/>
    <col min="2" max="11" width="15" customWidth="1"/>
  </cols>
  <sheetData>
    <row r="1" spans="1:9" ht="25.95" customHeight="1" x14ac:dyDescent="0.6">
      <c r="A1" s="1" t="s">
        <v>40</v>
      </c>
    </row>
    <row r="2" spans="1:9" ht="48" customHeight="1" x14ac:dyDescent="0.2">
      <c r="A2" s="38" t="s">
        <v>380</v>
      </c>
      <c r="B2" s="39"/>
      <c r="C2" s="39"/>
      <c r="D2" s="39"/>
      <c r="E2" s="39"/>
      <c r="F2" s="39"/>
      <c r="G2" s="39"/>
      <c r="H2" s="39"/>
      <c r="I2" s="39"/>
    </row>
    <row r="4" spans="1:9" ht="22.05" customHeight="1" x14ac:dyDescent="0.5">
      <c r="A4" s="14" t="s">
        <v>124</v>
      </c>
    </row>
    <row r="5" spans="1:9" ht="30" customHeight="1" x14ac:dyDescent="0.2">
      <c r="A5" s="4" t="s">
        <v>125</v>
      </c>
      <c r="B5" s="4" t="s">
        <v>13</v>
      </c>
      <c r="C5" s="4" t="s">
        <v>381</v>
      </c>
      <c r="D5" s="4" t="s">
        <v>130</v>
      </c>
      <c r="E5" s="4" t="s">
        <v>52</v>
      </c>
    </row>
    <row r="6" spans="1:9" ht="18" x14ac:dyDescent="0.45">
      <c r="A6" s="22">
        <v>2015</v>
      </c>
      <c r="B6" s="8">
        <v>35</v>
      </c>
      <c r="C6" s="23" t="s">
        <v>37</v>
      </c>
      <c r="D6" s="24" t="s">
        <v>131</v>
      </c>
      <c r="E6" s="21" t="s">
        <v>382</v>
      </c>
    </row>
    <row r="7" spans="1:9" ht="18" x14ac:dyDescent="0.45">
      <c r="A7" s="22">
        <v>2016</v>
      </c>
      <c r="B7" s="8">
        <v>165</v>
      </c>
      <c r="C7" s="23">
        <f t="shared" ref="C7:C16" si="0">IF(B6="","",B7/B6-1)</f>
        <v>3.7142857142857144</v>
      </c>
      <c r="D7" s="24" t="s">
        <v>131</v>
      </c>
      <c r="E7" s="21" t="s">
        <v>382</v>
      </c>
    </row>
    <row r="8" spans="1:9" ht="18" x14ac:dyDescent="0.45">
      <c r="A8" s="22">
        <v>2017</v>
      </c>
      <c r="B8" s="8">
        <v>186</v>
      </c>
      <c r="C8" s="23">
        <f t="shared" si="0"/>
        <v>0.1272727272727272</v>
      </c>
      <c r="D8" s="24" t="s">
        <v>131</v>
      </c>
      <c r="E8" s="21" t="s">
        <v>382</v>
      </c>
    </row>
    <row r="9" spans="1:9" ht="18" x14ac:dyDescent="0.45">
      <c r="A9" s="22">
        <v>2018</v>
      </c>
      <c r="B9" s="8">
        <v>279</v>
      </c>
      <c r="C9" s="23">
        <f t="shared" si="0"/>
        <v>0.5</v>
      </c>
      <c r="D9" s="24" t="s">
        <v>131</v>
      </c>
      <c r="E9" s="21" t="s">
        <v>382</v>
      </c>
    </row>
    <row r="10" spans="1:9" ht="18" x14ac:dyDescent="0.45">
      <c r="A10" s="22">
        <v>2019</v>
      </c>
      <c r="B10" s="8">
        <v>744</v>
      </c>
      <c r="C10" s="23">
        <f t="shared" si="0"/>
        <v>1.6666666666666665</v>
      </c>
      <c r="D10" s="24" t="s">
        <v>131</v>
      </c>
      <c r="E10" s="21" t="s">
        <v>382</v>
      </c>
    </row>
    <row r="11" spans="1:9" ht="18" x14ac:dyDescent="0.45">
      <c r="A11" s="22">
        <v>2020</v>
      </c>
      <c r="B11" s="8">
        <v>10</v>
      </c>
      <c r="C11" s="23">
        <f t="shared" si="0"/>
        <v>-0.98655913978494625</v>
      </c>
      <c r="D11" s="24" t="s">
        <v>131</v>
      </c>
      <c r="E11" s="21" t="s">
        <v>382</v>
      </c>
    </row>
    <row r="12" spans="1:9" ht="18" x14ac:dyDescent="0.45">
      <c r="A12" s="22">
        <v>2021</v>
      </c>
      <c r="B12" s="8">
        <v>6</v>
      </c>
      <c r="C12" s="23">
        <f t="shared" si="0"/>
        <v>-0.4</v>
      </c>
      <c r="D12" s="24" t="s">
        <v>131</v>
      </c>
      <c r="E12" s="21" t="s">
        <v>382</v>
      </c>
    </row>
    <row r="13" spans="1:9" ht="18" x14ac:dyDescent="0.45">
      <c r="A13" s="22">
        <v>2022</v>
      </c>
      <c r="B13" s="8">
        <v>6</v>
      </c>
      <c r="C13" s="23">
        <f t="shared" si="0"/>
        <v>0</v>
      </c>
      <c r="D13" s="24" t="s">
        <v>131</v>
      </c>
      <c r="E13" s="21" t="s">
        <v>382</v>
      </c>
    </row>
    <row r="14" spans="1:9" ht="18" x14ac:dyDescent="0.45">
      <c r="A14" s="22">
        <v>2023</v>
      </c>
      <c r="B14" s="8">
        <v>28</v>
      </c>
      <c r="C14" s="23">
        <f t="shared" si="0"/>
        <v>3.666666666666667</v>
      </c>
      <c r="D14" s="24" t="s">
        <v>131</v>
      </c>
      <c r="E14" s="21" t="s">
        <v>382</v>
      </c>
    </row>
    <row r="15" spans="1:9" ht="18" x14ac:dyDescent="0.45">
      <c r="A15" s="22">
        <v>2024</v>
      </c>
      <c r="B15" s="8">
        <v>45</v>
      </c>
      <c r="C15" s="23">
        <f t="shared" si="0"/>
        <v>0.60714285714285721</v>
      </c>
      <c r="D15" s="24" t="s">
        <v>131</v>
      </c>
      <c r="E15" s="21" t="s">
        <v>382</v>
      </c>
    </row>
    <row r="16" spans="1:9" ht="18" x14ac:dyDescent="0.45">
      <c r="A16" s="32">
        <v>2025</v>
      </c>
      <c r="B16" s="12">
        <v>265</v>
      </c>
      <c r="C16" s="33">
        <f t="shared" si="0"/>
        <v>4.8888888888888893</v>
      </c>
      <c r="D16" s="34" t="s">
        <v>140</v>
      </c>
      <c r="E16" s="35" t="s">
        <v>383</v>
      </c>
    </row>
    <row r="17" spans="1:9" ht="18" customHeight="1" x14ac:dyDescent="0.2">
      <c r="A17" s="38" t="s">
        <v>133</v>
      </c>
      <c r="B17" s="39"/>
      <c r="C17" s="39"/>
      <c r="D17" s="39"/>
      <c r="E17" s="39"/>
      <c r="F17" s="39"/>
      <c r="G17" s="39"/>
      <c r="H17" s="39"/>
      <c r="I17" s="39"/>
    </row>
    <row r="19" spans="1:9" ht="22.05" customHeight="1" x14ac:dyDescent="0.5">
      <c r="A19" s="14" t="s">
        <v>134</v>
      </c>
    </row>
    <row r="20" spans="1:9" ht="30" customHeight="1" x14ac:dyDescent="0.2">
      <c r="A20" s="4" t="s">
        <v>135</v>
      </c>
      <c r="B20" s="4" t="s">
        <v>136</v>
      </c>
      <c r="C20" s="4" t="s">
        <v>137</v>
      </c>
      <c r="D20" s="4" t="s">
        <v>138</v>
      </c>
      <c r="E20" s="4" t="s">
        <v>34</v>
      </c>
      <c r="F20" s="4" t="s">
        <v>130</v>
      </c>
      <c r="G20" s="4" t="s">
        <v>52</v>
      </c>
    </row>
    <row r="21" spans="1:9" ht="49.95" customHeight="1" x14ac:dyDescent="0.45">
      <c r="A21" s="3" t="s">
        <v>13</v>
      </c>
      <c r="B21" s="3" t="s">
        <v>325</v>
      </c>
      <c r="C21" s="8">
        <v>579</v>
      </c>
      <c r="D21" s="8">
        <v>231</v>
      </c>
      <c r="E21" s="9">
        <f>C21/D21-1</f>
        <v>1.5064935064935066</v>
      </c>
      <c r="F21" s="24" t="s">
        <v>140</v>
      </c>
      <c r="G21" s="21" t="s">
        <v>383</v>
      </c>
    </row>
    <row r="22" spans="1:9" ht="18" customHeight="1" x14ac:dyDescent="0.2">
      <c r="A22" s="38" t="s">
        <v>384</v>
      </c>
      <c r="B22" s="39"/>
      <c r="C22" s="39"/>
      <c r="D22" s="39"/>
      <c r="E22" s="39"/>
      <c r="F22" s="39"/>
      <c r="G22" s="39"/>
      <c r="H22" s="39"/>
      <c r="I22" s="39"/>
    </row>
    <row r="23" spans="1:9" ht="31.95" customHeight="1" x14ac:dyDescent="0.2">
      <c r="A23" s="38" t="s">
        <v>385</v>
      </c>
      <c r="B23" s="39"/>
      <c r="C23" s="39"/>
      <c r="D23" s="39"/>
      <c r="E23" s="39"/>
      <c r="F23" s="39"/>
      <c r="G23" s="39"/>
      <c r="H23" s="39"/>
      <c r="I23" s="39"/>
    </row>
    <row r="25" spans="1:9" ht="22.05" customHeight="1" x14ac:dyDescent="0.5">
      <c r="A25" s="14" t="s">
        <v>328</v>
      </c>
    </row>
    <row r="26" spans="1:9" ht="30" customHeight="1" x14ac:dyDescent="0.2">
      <c r="A26" s="4" t="s">
        <v>130</v>
      </c>
      <c r="B26" s="4" t="s">
        <v>145</v>
      </c>
      <c r="C26" s="4" t="s">
        <v>146</v>
      </c>
      <c r="D26" s="4" t="s">
        <v>52</v>
      </c>
    </row>
    <row r="27" spans="1:9" ht="18" x14ac:dyDescent="0.45">
      <c r="A27" s="3" t="s">
        <v>13</v>
      </c>
      <c r="B27" s="8">
        <v>30</v>
      </c>
      <c r="C27" s="8">
        <v>15</v>
      </c>
      <c r="D27" s="21" t="s">
        <v>386</v>
      </c>
    </row>
    <row r="29" spans="1:9" ht="22.05" customHeight="1" x14ac:dyDescent="0.5">
      <c r="A29" s="14" t="s">
        <v>330</v>
      </c>
    </row>
    <row r="30" spans="1:9" ht="30" customHeight="1" x14ac:dyDescent="0.2">
      <c r="A30" s="4" t="s">
        <v>130</v>
      </c>
      <c r="B30" s="4" t="s">
        <v>13</v>
      </c>
      <c r="C30" s="4" t="s">
        <v>52</v>
      </c>
    </row>
    <row r="31" spans="1:9" ht="18" x14ac:dyDescent="0.45">
      <c r="A31" s="3" t="s">
        <v>331</v>
      </c>
      <c r="B31" s="8">
        <v>6</v>
      </c>
      <c r="C31" s="21" t="s">
        <v>386</v>
      </c>
    </row>
    <row r="32" spans="1:9" ht="18" x14ac:dyDescent="0.45">
      <c r="A32" s="3" t="s">
        <v>332</v>
      </c>
      <c r="B32" s="8">
        <v>1</v>
      </c>
      <c r="C32" s="21" t="s">
        <v>386</v>
      </c>
    </row>
    <row r="33" spans="1:3" ht="18" x14ac:dyDescent="0.45">
      <c r="A33" s="3" t="s">
        <v>333</v>
      </c>
      <c r="B33" s="8">
        <v>1</v>
      </c>
      <c r="C33" s="21" t="s">
        <v>386</v>
      </c>
    </row>
    <row r="34" spans="1:3" ht="18" x14ac:dyDescent="0.45">
      <c r="A34" s="3" t="s">
        <v>152</v>
      </c>
      <c r="B34" s="8">
        <v>1</v>
      </c>
      <c r="C34" s="21" t="s">
        <v>386</v>
      </c>
    </row>
    <row r="35" spans="1:3" ht="18" x14ac:dyDescent="0.45">
      <c r="A35" s="3" t="s">
        <v>153</v>
      </c>
      <c r="B35" s="8">
        <v>7</v>
      </c>
      <c r="C35" s="21" t="s">
        <v>386</v>
      </c>
    </row>
    <row r="36" spans="1:3" ht="18" x14ac:dyDescent="0.45">
      <c r="A36" s="3" t="s">
        <v>154</v>
      </c>
      <c r="B36" s="8">
        <v>6</v>
      </c>
      <c r="C36" s="21" t="s">
        <v>386</v>
      </c>
    </row>
    <row r="37" spans="1:3" ht="18" x14ac:dyDescent="0.45">
      <c r="A37" s="3" t="s">
        <v>155</v>
      </c>
      <c r="B37" s="8">
        <v>8</v>
      </c>
      <c r="C37" s="21" t="s">
        <v>386</v>
      </c>
    </row>
    <row r="38" spans="1:3" ht="18" x14ac:dyDescent="0.45">
      <c r="A38" s="3" t="s">
        <v>156</v>
      </c>
      <c r="B38" s="8">
        <v>6</v>
      </c>
      <c r="C38" s="21" t="s">
        <v>386</v>
      </c>
    </row>
    <row r="39" spans="1:3" ht="18" x14ac:dyDescent="0.45">
      <c r="A39" s="3" t="s">
        <v>157</v>
      </c>
      <c r="B39" s="8">
        <v>2</v>
      </c>
      <c r="C39" s="21" t="s">
        <v>386</v>
      </c>
    </row>
    <row r="40" spans="1:3" ht="18" x14ac:dyDescent="0.45">
      <c r="A40" s="3" t="s">
        <v>158</v>
      </c>
      <c r="B40" s="8">
        <v>3</v>
      </c>
      <c r="C40" s="21" t="s">
        <v>386</v>
      </c>
    </row>
    <row r="41" spans="1:3" ht="18" x14ac:dyDescent="0.45">
      <c r="A41" s="3" t="s">
        <v>159</v>
      </c>
      <c r="B41" s="8">
        <v>3</v>
      </c>
      <c r="C41" s="21" t="s">
        <v>386</v>
      </c>
    </row>
    <row r="42" spans="1:3" ht="18" x14ac:dyDescent="0.45">
      <c r="A42" s="3" t="s">
        <v>160</v>
      </c>
      <c r="B42" s="8">
        <v>1</v>
      </c>
      <c r="C42" s="21" t="s">
        <v>386</v>
      </c>
    </row>
    <row r="43" spans="1:3" ht="18" x14ac:dyDescent="0.45">
      <c r="A43" s="3" t="s">
        <v>161</v>
      </c>
      <c r="B43" s="8">
        <v>0</v>
      </c>
      <c r="C43" s="21" t="s">
        <v>386</v>
      </c>
    </row>
    <row r="44" spans="1:3" ht="18" x14ac:dyDescent="0.45">
      <c r="A44" s="3" t="s">
        <v>334</v>
      </c>
      <c r="B44" s="8">
        <v>0</v>
      </c>
      <c r="C44" s="21" t="s">
        <v>386</v>
      </c>
    </row>
    <row r="45" spans="1:3" ht="18" x14ac:dyDescent="0.45">
      <c r="A45" s="3" t="s">
        <v>335</v>
      </c>
      <c r="B45" s="8">
        <v>0</v>
      </c>
      <c r="C45" s="21" t="s">
        <v>386</v>
      </c>
    </row>
    <row r="46" spans="1:3" ht="18" x14ac:dyDescent="0.45">
      <c r="A46" s="3" t="s">
        <v>336</v>
      </c>
      <c r="B46" s="8">
        <v>0</v>
      </c>
      <c r="C46" s="21" t="s">
        <v>386</v>
      </c>
    </row>
    <row r="48" spans="1:3" ht="22.05" customHeight="1" x14ac:dyDescent="0.5">
      <c r="A48" s="14" t="s">
        <v>337</v>
      </c>
    </row>
    <row r="49" spans="1:9" ht="30" customHeight="1" x14ac:dyDescent="0.2">
      <c r="A49" s="4" t="s">
        <v>130</v>
      </c>
      <c r="B49" s="4" t="s">
        <v>166</v>
      </c>
      <c r="C49" s="4" t="s">
        <v>338</v>
      </c>
      <c r="D49" s="4" t="s">
        <v>52</v>
      </c>
    </row>
    <row r="50" spans="1:9" ht="18" x14ac:dyDescent="0.45">
      <c r="A50" s="3" t="s">
        <v>172</v>
      </c>
      <c r="B50" s="25">
        <v>1</v>
      </c>
      <c r="C50" s="8">
        <v>11</v>
      </c>
      <c r="D50" s="21" t="s">
        <v>386</v>
      </c>
    </row>
    <row r="51" spans="1:9" ht="18" x14ac:dyDescent="0.45">
      <c r="A51" s="3" t="s">
        <v>170</v>
      </c>
      <c r="B51" s="25">
        <v>2</v>
      </c>
      <c r="C51" s="8">
        <v>10</v>
      </c>
      <c r="D51" s="21" t="s">
        <v>386</v>
      </c>
    </row>
    <row r="52" spans="1:9" ht="18" x14ac:dyDescent="0.45">
      <c r="A52" s="3" t="s">
        <v>387</v>
      </c>
      <c r="B52" s="25">
        <v>3</v>
      </c>
      <c r="C52" s="8">
        <v>8</v>
      </c>
      <c r="D52" s="21" t="s">
        <v>386</v>
      </c>
    </row>
    <row r="53" spans="1:9" ht="18" x14ac:dyDescent="0.45">
      <c r="A53" s="3" t="s">
        <v>388</v>
      </c>
      <c r="B53" s="25">
        <v>4</v>
      </c>
      <c r="C53" s="8">
        <v>4</v>
      </c>
      <c r="D53" s="21" t="s">
        <v>386</v>
      </c>
    </row>
    <row r="54" spans="1:9" ht="18" x14ac:dyDescent="0.45">
      <c r="A54" s="3" t="s">
        <v>389</v>
      </c>
      <c r="B54" s="25">
        <v>4</v>
      </c>
      <c r="C54" s="8">
        <v>4</v>
      </c>
      <c r="D54" s="21" t="s">
        <v>386</v>
      </c>
    </row>
    <row r="56" spans="1:9" ht="22.05" customHeight="1" x14ac:dyDescent="0.5">
      <c r="A56" s="14" t="s">
        <v>390</v>
      </c>
    </row>
    <row r="57" spans="1:9" ht="30" customHeight="1" x14ac:dyDescent="0.2">
      <c r="A57" s="4" t="s">
        <v>130</v>
      </c>
      <c r="B57" s="4" t="s">
        <v>13</v>
      </c>
      <c r="C57" s="4" t="s">
        <v>52</v>
      </c>
    </row>
    <row r="58" spans="1:9" ht="18" x14ac:dyDescent="0.45">
      <c r="A58" s="3" t="s">
        <v>391</v>
      </c>
      <c r="B58" s="8">
        <v>20</v>
      </c>
      <c r="C58" s="21" t="s">
        <v>392</v>
      </c>
    </row>
    <row r="59" spans="1:9" ht="18" x14ac:dyDescent="0.45">
      <c r="A59" s="3" t="s">
        <v>393</v>
      </c>
      <c r="B59" s="8">
        <v>7</v>
      </c>
      <c r="C59" s="21" t="s">
        <v>392</v>
      </c>
    </row>
    <row r="60" spans="1:9" ht="18" x14ac:dyDescent="0.45">
      <c r="A60" s="3" t="s">
        <v>394</v>
      </c>
      <c r="B60" s="8">
        <v>6</v>
      </c>
      <c r="C60" s="21" t="s">
        <v>392</v>
      </c>
    </row>
    <row r="61" spans="1:9" ht="18" x14ac:dyDescent="0.45">
      <c r="A61" s="3" t="s">
        <v>395</v>
      </c>
      <c r="B61" s="8">
        <v>12</v>
      </c>
      <c r="C61" s="21" t="s">
        <v>392</v>
      </c>
    </row>
    <row r="62" spans="1:9" ht="31.95" customHeight="1" x14ac:dyDescent="0.2">
      <c r="A62" s="38" t="s">
        <v>396</v>
      </c>
      <c r="B62" s="39"/>
      <c r="C62" s="39"/>
      <c r="D62" s="39"/>
      <c r="E62" s="39"/>
      <c r="F62" s="39"/>
      <c r="G62" s="39"/>
      <c r="H62" s="39"/>
      <c r="I62" s="39"/>
    </row>
    <row r="64" spans="1:9" ht="22.05" customHeight="1" x14ac:dyDescent="0.5">
      <c r="A64" s="14" t="s">
        <v>397</v>
      </c>
    </row>
    <row r="65" spans="1:9" ht="30" customHeight="1" x14ac:dyDescent="0.2">
      <c r="A65" s="4" t="s">
        <v>130</v>
      </c>
      <c r="B65" s="4" t="s">
        <v>13</v>
      </c>
      <c r="C65" s="4" t="s">
        <v>52</v>
      </c>
    </row>
    <row r="66" spans="1:9" ht="18" x14ac:dyDescent="0.45">
      <c r="A66" s="3" t="s">
        <v>398</v>
      </c>
      <c r="B66" s="8">
        <v>14</v>
      </c>
      <c r="C66" s="21" t="s">
        <v>399</v>
      </c>
    </row>
    <row r="67" spans="1:9" ht="18" x14ac:dyDescent="0.45">
      <c r="A67" s="3" t="s">
        <v>400</v>
      </c>
      <c r="B67" s="8">
        <v>22</v>
      </c>
      <c r="C67" s="21" t="s">
        <v>399</v>
      </c>
    </row>
    <row r="68" spans="1:9" ht="18" x14ac:dyDescent="0.45">
      <c r="A68" s="3" t="s">
        <v>163</v>
      </c>
      <c r="B68" s="8">
        <v>9</v>
      </c>
      <c r="C68" s="21" t="s">
        <v>399</v>
      </c>
    </row>
    <row r="69" spans="1:9" ht="31.95" customHeight="1" x14ac:dyDescent="0.2">
      <c r="A69" s="38" t="s">
        <v>401</v>
      </c>
      <c r="B69" s="39"/>
      <c r="C69" s="39"/>
      <c r="D69" s="39"/>
      <c r="E69" s="39"/>
      <c r="F69" s="39"/>
      <c r="G69" s="39"/>
      <c r="H69" s="39"/>
      <c r="I69" s="39"/>
    </row>
    <row r="71" spans="1:9" ht="22.05" customHeight="1" x14ac:dyDescent="0.5">
      <c r="A71" s="14" t="s">
        <v>402</v>
      </c>
    </row>
    <row r="72" spans="1:9" ht="30" customHeight="1" x14ac:dyDescent="0.2">
      <c r="A72" s="4" t="s">
        <v>130</v>
      </c>
      <c r="B72" s="4" t="s">
        <v>13</v>
      </c>
      <c r="C72" s="4" t="s">
        <v>52</v>
      </c>
    </row>
    <row r="73" spans="1:9" ht="18" x14ac:dyDescent="0.45">
      <c r="A73" s="3" t="s">
        <v>274</v>
      </c>
      <c r="B73" s="8">
        <v>6</v>
      </c>
      <c r="C73" s="21" t="s">
        <v>403</v>
      </c>
    </row>
    <row r="74" spans="1:9" ht="18" x14ac:dyDescent="0.45">
      <c r="A74" s="3" t="s">
        <v>404</v>
      </c>
      <c r="B74" s="8">
        <v>3</v>
      </c>
      <c r="C74" s="21" t="s">
        <v>403</v>
      </c>
    </row>
    <row r="75" spans="1:9" ht="18" x14ac:dyDescent="0.45">
      <c r="A75" s="3" t="s">
        <v>270</v>
      </c>
      <c r="B75" s="8">
        <v>3</v>
      </c>
      <c r="C75" s="21" t="s">
        <v>403</v>
      </c>
    </row>
    <row r="76" spans="1:9" ht="18" x14ac:dyDescent="0.45">
      <c r="A76" s="3" t="s">
        <v>405</v>
      </c>
      <c r="B76" s="8">
        <v>2</v>
      </c>
      <c r="C76" s="21" t="s">
        <v>403</v>
      </c>
    </row>
    <row r="77" spans="1:9" ht="18" x14ac:dyDescent="0.45">
      <c r="A77" s="3" t="s">
        <v>267</v>
      </c>
      <c r="B77" s="8">
        <v>2</v>
      </c>
      <c r="C77" s="21" t="s">
        <v>403</v>
      </c>
    </row>
    <row r="78" spans="1:9" ht="18" x14ac:dyDescent="0.45">
      <c r="A78" s="3" t="s">
        <v>276</v>
      </c>
      <c r="B78" s="8">
        <v>2</v>
      </c>
      <c r="C78" s="21" t="s">
        <v>403</v>
      </c>
    </row>
    <row r="79" spans="1:9" ht="18" x14ac:dyDescent="0.45">
      <c r="A79" s="3" t="s">
        <v>406</v>
      </c>
      <c r="B79" s="8">
        <v>1</v>
      </c>
      <c r="C79" s="21" t="s">
        <v>403</v>
      </c>
    </row>
    <row r="80" spans="1:9" ht="18" x14ac:dyDescent="0.45">
      <c r="A80" s="3" t="s">
        <v>407</v>
      </c>
      <c r="B80" s="8">
        <v>1</v>
      </c>
      <c r="C80" s="21" t="s">
        <v>403</v>
      </c>
    </row>
    <row r="81" spans="1:9" ht="18" x14ac:dyDescent="0.45">
      <c r="A81" s="3" t="s">
        <v>408</v>
      </c>
      <c r="B81" s="8">
        <v>2</v>
      </c>
      <c r="C81" s="21" t="s">
        <v>403</v>
      </c>
    </row>
    <row r="82" spans="1:9" ht="31.95" customHeight="1" x14ac:dyDescent="0.2">
      <c r="A82" s="38" t="s">
        <v>409</v>
      </c>
      <c r="B82" s="39"/>
      <c r="C82" s="39"/>
      <c r="D82" s="39"/>
      <c r="E82" s="39"/>
      <c r="F82" s="39"/>
      <c r="G82" s="39"/>
      <c r="H82" s="39"/>
      <c r="I82" s="39"/>
    </row>
    <row r="84" spans="1:9" ht="22.05" customHeight="1" x14ac:dyDescent="0.5">
      <c r="A84" s="14" t="s">
        <v>410</v>
      </c>
    </row>
    <row r="85" spans="1:9" ht="30" customHeight="1" x14ac:dyDescent="0.2">
      <c r="A85" s="4" t="s">
        <v>130</v>
      </c>
      <c r="B85" s="4" t="s">
        <v>411</v>
      </c>
      <c r="C85" s="4" t="s">
        <v>412</v>
      </c>
      <c r="D85" s="4" t="s">
        <v>52</v>
      </c>
    </row>
    <row r="86" spans="1:9" ht="18" x14ac:dyDescent="0.45">
      <c r="A86" s="3" t="s">
        <v>413</v>
      </c>
      <c r="B86" s="27">
        <v>96.3</v>
      </c>
      <c r="C86" s="27">
        <v>92.7</v>
      </c>
      <c r="D86" s="21" t="s">
        <v>414</v>
      </c>
    </row>
    <row r="87" spans="1:9" ht="18" x14ac:dyDescent="0.45">
      <c r="A87" s="3" t="s">
        <v>415</v>
      </c>
      <c r="B87" s="27">
        <v>92.7</v>
      </c>
      <c r="C87" s="27">
        <v>91</v>
      </c>
      <c r="D87" s="21" t="s">
        <v>414</v>
      </c>
    </row>
    <row r="88" spans="1:9" ht="48" customHeight="1" x14ac:dyDescent="0.2">
      <c r="A88" s="38" t="s">
        <v>416</v>
      </c>
      <c r="B88" s="39"/>
      <c r="C88" s="39"/>
      <c r="D88" s="39"/>
      <c r="E88" s="39"/>
      <c r="F88" s="39"/>
      <c r="G88" s="39"/>
      <c r="H88" s="39"/>
      <c r="I88" s="39"/>
    </row>
    <row r="90" spans="1:9" ht="22.05" customHeight="1" x14ac:dyDescent="0.5">
      <c r="A90" s="14" t="s">
        <v>417</v>
      </c>
    </row>
    <row r="91" spans="1:9" ht="30" customHeight="1" x14ac:dyDescent="0.2">
      <c r="A91" s="4" t="s">
        <v>130</v>
      </c>
      <c r="B91" s="4" t="s">
        <v>13</v>
      </c>
      <c r="C91" s="4" t="s">
        <v>52</v>
      </c>
    </row>
    <row r="92" spans="1:9" ht="18" x14ac:dyDescent="0.45">
      <c r="A92" s="3" t="s">
        <v>418</v>
      </c>
      <c r="B92" s="8">
        <v>77</v>
      </c>
      <c r="C92" s="21" t="s">
        <v>419</v>
      </c>
    </row>
    <row r="93" spans="1:9" ht="18" x14ac:dyDescent="0.45">
      <c r="A93" s="3" t="s">
        <v>393</v>
      </c>
      <c r="B93" s="8">
        <v>46</v>
      </c>
      <c r="C93" s="21" t="s">
        <v>419</v>
      </c>
    </row>
    <row r="94" spans="1:9" ht="18" x14ac:dyDescent="0.45">
      <c r="A94" s="3" t="s">
        <v>394</v>
      </c>
      <c r="B94" s="8">
        <v>52</v>
      </c>
      <c r="C94" s="21" t="s">
        <v>419</v>
      </c>
    </row>
    <row r="95" spans="1:9" ht="18" x14ac:dyDescent="0.45">
      <c r="A95" s="3" t="s">
        <v>163</v>
      </c>
      <c r="B95" s="8">
        <v>90</v>
      </c>
      <c r="C95" s="21" t="s">
        <v>419</v>
      </c>
    </row>
    <row r="96" spans="1:9" ht="18" customHeight="1" x14ac:dyDescent="0.2">
      <c r="A96" s="38" t="s">
        <v>420</v>
      </c>
      <c r="B96" s="39"/>
      <c r="C96" s="39"/>
      <c r="D96" s="39"/>
      <c r="E96" s="39"/>
      <c r="F96" s="39"/>
      <c r="G96" s="39"/>
      <c r="H96" s="39"/>
      <c r="I96" s="39"/>
    </row>
    <row r="98" spans="1:9" ht="22.05" customHeight="1" x14ac:dyDescent="0.5">
      <c r="A98" s="14" t="s">
        <v>421</v>
      </c>
    </row>
    <row r="99" spans="1:9" ht="30" customHeight="1" x14ac:dyDescent="0.2">
      <c r="A99" s="4" t="s">
        <v>130</v>
      </c>
      <c r="B99" s="4" t="s">
        <v>13</v>
      </c>
      <c r="C99" s="4" t="s">
        <v>52</v>
      </c>
    </row>
    <row r="100" spans="1:9" ht="18" x14ac:dyDescent="0.45">
      <c r="A100" s="3" t="s">
        <v>398</v>
      </c>
      <c r="B100" s="8">
        <v>153</v>
      </c>
      <c r="C100" s="21" t="s">
        <v>419</v>
      </c>
    </row>
    <row r="101" spans="1:9" ht="18" x14ac:dyDescent="0.45">
      <c r="A101" s="3" t="s">
        <v>400</v>
      </c>
      <c r="B101" s="8">
        <v>86</v>
      </c>
      <c r="C101" s="21" t="s">
        <v>419</v>
      </c>
    </row>
    <row r="102" spans="1:9" ht="18" x14ac:dyDescent="0.45">
      <c r="A102" s="3" t="s">
        <v>422</v>
      </c>
      <c r="B102" s="8">
        <v>3</v>
      </c>
      <c r="C102" s="21" t="s">
        <v>419</v>
      </c>
    </row>
    <row r="103" spans="1:9" ht="18" x14ac:dyDescent="0.45">
      <c r="A103" s="3" t="s">
        <v>423</v>
      </c>
      <c r="B103" s="8">
        <v>23</v>
      </c>
      <c r="C103" s="21" t="s">
        <v>419</v>
      </c>
    </row>
    <row r="104" spans="1:9" ht="18" customHeight="1" x14ac:dyDescent="0.2">
      <c r="A104" s="38" t="s">
        <v>424</v>
      </c>
      <c r="B104" s="39"/>
      <c r="C104" s="39"/>
      <c r="D104" s="39"/>
      <c r="E104" s="39"/>
      <c r="F104" s="39"/>
      <c r="G104" s="39"/>
      <c r="H104" s="39"/>
      <c r="I104" s="39"/>
    </row>
    <row r="106" spans="1:9" ht="22.05" customHeight="1" x14ac:dyDescent="0.5">
      <c r="A106" s="14" t="s">
        <v>425</v>
      </c>
    </row>
    <row r="107" spans="1:9" ht="30" customHeight="1" x14ac:dyDescent="0.2">
      <c r="A107" s="4" t="s">
        <v>130</v>
      </c>
      <c r="B107" s="4" t="s">
        <v>13</v>
      </c>
      <c r="C107" s="4" t="s">
        <v>52</v>
      </c>
    </row>
    <row r="108" spans="1:9" ht="18" x14ac:dyDescent="0.45">
      <c r="A108" s="3" t="s">
        <v>170</v>
      </c>
      <c r="B108" s="8">
        <v>271</v>
      </c>
      <c r="C108" s="21" t="s">
        <v>383</v>
      </c>
    </row>
    <row r="109" spans="1:9" ht="18" x14ac:dyDescent="0.45">
      <c r="A109" s="3" t="s">
        <v>173</v>
      </c>
      <c r="B109" s="8">
        <v>49</v>
      </c>
      <c r="C109" s="21" t="s">
        <v>383</v>
      </c>
    </row>
    <row r="110" spans="1:9" ht="18" x14ac:dyDescent="0.45">
      <c r="A110" s="3" t="s">
        <v>387</v>
      </c>
      <c r="B110" s="8">
        <v>40</v>
      </c>
      <c r="C110" s="21" t="s">
        <v>383</v>
      </c>
    </row>
    <row r="111" spans="1:9" ht="18" x14ac:dyDescent="0.45">
      <c r="A111" s="3" t="s">
        <v>426</v>
      </c>
      <c r="B111" s="8">
        <v>34</v>
      </c>
      <c r="C111" s="21" t="s">
        <v>383</v>
      </c>
    </row>
    <row r="112" spans="1:9" ht="18" x14ac:dyDescent="0.45">
      <c r="A112" s="3" t="s">
        <v>427</v>
      </c>
      <c r="B112" s="8">
        <v>34</v>
      </c>
      <c r="C112" s="21" t="s">
        <v>383</v>
      </c>
    </row>
    <row r="113" spans="1:9" ht="18" customHeight="1" x14ac:dyDescent="0.2">
      <c r="A113" s="38" t="s">
        <v>428</v>
      </c>
      <c r="B113" s="39"/>
      <c r="C113" s="39"/>
      <c r="D113" s="39"/>
      <c r="E113" s="39"/>
      <c r="F113" s="39"/>
      <c r="G113" s="39"/>
      <c r="H113" s="39"/>
      <c r="I113" s="39"/>
    </row>
    <row r="115" spans="1:9" ht="22.05" customHeight="1" x14ac:dyDescent="0.5">
      <c r="A115" s="14" t="s">
        <v>429</v>
      </c>
    </row>
    <row r="116" spans="1:9" ht="30" customHeight="1" x14ac:dyDescent="0.2">
      <c r="A116" s="4" t="s">
        <v>130</v>
      </c>
      <c r="B116" s="4" t="s">
        <v>13</v>
      </c>
      <c r="C116" s="4" t="s">
        <v>52</v>
      </c>
    </row>
    <row r="117" spans="1:9" ht="18" x14ac:dyDescent="0.45">
      <c r="A117" s="3" t="s">
        <v>398</v>
      </c>
      <c r="B117" s="8">
        <v>423</v>
      </c>
      <c r="C117" s="21" t="s">
        <v>383</v>
      </c>
    </row>
    <row r="118" spans="1:9" ht="18" x14ac:dyDescent="0.45">
      <c r="A118" s="3" t="s">
        <v>400</v>
      </c>
      <c r="B118" s="8">
        <v>48</v>
      </c>
      <c r="C118" s="21" t="s">
        <v>383</v>
      </c>
    </row>
    <row r="119" spans="1:9" ht="18" x14ac:dyDescent="0.45">
      <c r="A119" s="3" t="s">
        <v>422</v>
      </c>
      <c r="B119" s="8">
        <v>11</v>
      </c>
      <c r="C119" s="21" t="s">
        <v>383</v>
      </c>
    </row>
    <row r="120" spans="1:9" ht="18" x14ac:dyDescent="0.45">
      <c r="A120" s="3" t="s">
        <v>423</v>
      </c>
      <c r="B120" s="8">
        <v>97</v>
      </c>
      <c r="C120" s="21" t="s">
        <v>383</v>
      </c>
    </row>
    <row r="121" spans="1:9" ht="31.95" customHeight="1" x14ac:dyDescent="0.2">
      <c r="A121" s="38" t="s">
        <v>430</v>
      </c>
      <c r="B121" s="39"/>
      <c r="C121" s="39"/>
      <c r="D121" s="39"/>
      <c r="E121" s="39"/>
      <c r="F121" s="39"/>
      <c r="G121" s="39"/>
      <c r="H121" s="39"/>
      <c r="I121" s="39"/>
    </row>
    <row r="123" spans="1:9" ht="22.05" customHeight="1" x14ac:dyDescent="0.5">
      <c r="A123" s="14" t="s">
        <v>431</v>
      </c>
    </row>
    <row r="124" spans="1:9" ht="30" customHeight="1" x14ac:dyDescent="0.2">
      <c r="A124" s="4" t="s">
        <v>130</v>
      </c>
      <c r="B124" s="4" t="s">
        <v>13</v>
      </c>
      <c r="C124" s="4" t="s">
        <v>52</v>
      </c>
    </row>
    <row r="125" spans="1:9" ht="18" x14ac:dyDescent="0.45">
      <c r="A125" s="3" t="s">
        <v>418</v>
      </c>
      <c r="B125" s="8">
        <v>83</v>
      </c>
      <c r="C125" s="21" t="s">
        <v>383</v>
      </c>
    </row>
    <row r="126" spans="1:9" ht="18" x14ac:dyDescent="0.45">
      <c r="A126" s="3" t="s">
        <v>393</v>
      </c>
      <c r="B126" s="8">
        <v>81</v>
      </c>
      <c r="C126" s="21" t="s">
        <v>383</v>
      </c>
    </row>
    <row r="127" spans="1:9" ht="18" x14ac:dyDescent="0.45">
      <c r="A127" s="3" t="s">
        <v>394</v>
      </c>
      <c r="B127" s="8">
        <v>196</v>
      </c>
      <c r="C127" s="21" t="s">
        <v>383</v>
      </c>
    </row>
    <row r="128" spans="1:9" ht="18" x14ac:dyDescent="0.45">
      <c r="A128" s="3" t="s">
        <v>163</v>
      </c>
      <c r="B128" s="8">
        <v>219</v>
      </c>
      <c r="C128" s="21" t="s">
        <v>383</v>
      </c>
    </row>
    <row r="129" spans="1:9" ht="31.95" customHeight="1" x14ac:dyDescent="0.2">
      <c r="A129" s="38" t="s">
        <v>432</v>
      </c>
      <c r="B129" s="39"/>
      <c r="C129" s="39"/>
      <c r="D129" s="39"/>
      <c r="E129" s="39"/>
      <c r="F129" s="39"/>
      <c r="G129" s="39"/>
      <c r="H129" s="39"/>
      <c r="I129" s="39"/>
    </row>
    <row r="131" spans="1:9" ht="22.05" customHeight="1" x14ac:dyDescent="0.5">
      <c r="A131" s="14" t="s">
        <v>224</v>
      </c>
    </row>
    <row r="132" spans="1:9" ht="31.95" customHeight="1" x14ac:dyDescent="0.2">
      <c r="A132" s="40" t="s">
        <v>433</v>
      </c>
      <c r="B132" s="39"/>
      <c r="C132" s="39"/>
      <c r="D132" s="39"/>
      <c r="E132" s="39"/>
      <c r="F132" s="39"/>
      <c r="G132" s="39"/>
      <c r="H132" s="39"/>
      <c r="I132" s="39"/>
    </row>
    <row r="133" spans="1:9" ht="31.95" customHeight="1" x14ac:dyDescent="0.2">
      <c r="A133" s="40" t="s">
        <v>434</v>
      </c>
      <c r="B133" s="39"/>
      <c r="C133" s="39"/>
      <c r="D133" s="39"/>
      <c r="E133" s="39"/>
      <c r="F133" s="39"/>
      <c r="G133" s="39"/>
      <c r="H133" s="39"/>
      <c r="I133" s="39"/>
    </row>
    <row r="134" spans="1:9" ht="31.95" customHeight="1" x14ac:dyDescent="0.2">
      <c r="A134" s="40" t="s">
        <v>435</v>
      </c>
      <c r="B134" s="39"/>
      <c r="C134" s="39"/>
      <c r="D134" s="39"/>
      <c r="E134" s="39"/>
      <c r="F134" s="39"/>
      <c r="G134" s="39"/>
      <c r="H134" s="39"/>
      <c r="I134" s="39"/>
    </row>
    <row r="135" spans="1:9" ht="48" customHeight="1" x14ac:dyDescent="0.2">
      <c r="A135" s="40" t="s">
        <v>436</v>
      </c>
      <c r="B135" s="39"/>
      <c r="C135" s="39"/>
      <c r="D135" s="39"/>
      <c r="E135" s="39"/>
      <c r="F135" s="39"/>
      <c r="G135" s="39"/>
      <c r="H135" s="39"/>
      <c r="I135" s="39"/>
    </row>
    <row r="136" spans="1:9" ht="31.95" customHeight="1" x14ac:dyDescent="0.2">
      <c r="A136" s="40" t="s">
        <v>437</v>
      </c>
      <c r="B136" s="39"/>
      <c r="C136" s="39"/>
      <c r="D136" s="39"/>
      <c r="E136" s="39"/>
      <c r="F136" s="39"/>
      <c r="G136" s="39"/>
      <c r="H136" s="39"/>
      <c r="I136" s="39"/>
    </row>
    <row r="138" spans="1:9" ht="22.05" customHeight="1" x14ac:dyDescent="0.5">
      <c r="A138" s="14" t="s">
        <v>230</v>
      </c>
    </row>
    <row r="139" spans="1:9" ht="31.95" customHeight="1" x14ac:dyDescent="0.2">
      <c r="A139" s="40" t="s">
        <v>438</v>
      </c>
      <c r="B139" s="39"/>
      <c r="C139" s="39"/>
      <c r="D139" s="39"/>
      <c r="E139" s="39"/>
      <c r="F139" s="39"/>
      <c r="G139" s="39"/>
      <c r="H139" s="39"/>
      <c r="I139" s="39"/>
    </row>
    <row r="140" spans="1:9" ht="31.95" customHeight="1" x14ac:dyDescent="0.2">
      <c r="A140" s="40" t="s">
        <v>439</v>
      </c>
      <c r="B140" s="39"/>
      <c r="C140" s="39"/>
      <c r="D140" s="39"/>
      <c r="E140" s="39"/>
      <c r="F140" s="39"/>
      <c r="G140" s="39"/>
      <c r="H140" s="39"/>
      <c r="I140" s="39"/>
    </row>
    <row r="141" spans="1:9" ht="31.95" customHeight="1" x14ac:dyDescent="0.2">
      <c r="A141" s="40" t="s">
        <v>440</v>
      </c>
      <c r="B141" s="39"/>
      <c r="C141" s="39"/>
      <c r="D141" s="39"/>
      <c r="E141" s="39"/>
      <c r="F141" s="39"/>
      <c r="G141" s="39"/>
      <c r="H141" s="39"/>
      <c r="I141" s="39"/>
    </row>
    <row r="142" spans="1:9" ht="48" customHeight="1" x14ac:dyDescent="0.2">
      <c r="A142" s="40" t="s">
        <v>441</v>
      </c>
      <c r="B142" s="39"/>
      <c r="C142" s="39"/>
      <c r="D142" s="39"/>
      <c r="E142" s="39"/>
      <c r="F142" s="39"/>
      <c r="G142" s="39"/>
      <c r="H142" s="39"/>
      <c r="I142" s="39"/>
    </row>
    <row r="144" spans="1:9" ht="22.05" customHeight="1" x14ac:dyDescent="0.5">
      <c r="A144" s="14" t="s">
        <v>235</v>
      </c>
    </row>
    <row r="145" spans="1:9" ht="31.95" customHeight="1" x14ac:dyDescent="0.2">
      <c r="A145" s="40" t="s">
        <v>102</v>
      </c>
      <c r="B145" s="39"/>
      <c r="C145" s="39"/>
      <c r="D145" s="39"/>
      <c r="E145" s="39"/>
      <c r="F145" s="39"/>
      <c r="G145" s="39"/>
      <c r="H145" s="39"/>
      <c r="I145" s="39"/>
    </row>
    <row r="146" spans="1:9" ht="31.95" customHeight="1" x14ac:dyDescent="0.2">
      <c r="A146" s="40" t="s">
        <v>103</v>
      </c>
      <c r="B146" s="39"/>
      <c r="C146" s="39"/>
      <c r="D146" s="39"/>
      <c r="E146" s="39"/>
      <c r="F146" s="39"/>
      <c r="G146" s="39"/>
      <c r="H146" s="39"/>
      <c r="I146" s="39"/>
    </row>
    <row r="147" spans="1:9" ht="18" customHeight="1" x14ac:dyDescent="0.2">
      <c r="A147" s="40" t="s">
        <v>104</v>
      </c>
      <c r="B147" s="39"/>
      <c r="C147" s="39"/>
      <c r="D147" s="39"/>
      <c r="E147" s="39"/>
      <c r="F147" s="39"/>
      <c r="G147" s="39"/>
      <c r="H147" s="39"/>
      <c r="I147" s="39"/>
    </row>
    <row r="148" spans="1:9" ht="31.95" customHeight="1" x14ac:dyDescent="0.2">
      <c r="A148" s="40" t="s">
        <v>105</v>
      </c>
      <c r="B148" s="39"/>
      <c r="C148" s="39"/>
      <c r="D148" s="39"/>
      <c r="E148" s="39"/>
      <c r="F148" s="39"/>
      <c r="G148" s="39"/>
      <c r="H148" s="39"/>
      <c r="I148" s="39"/>
    </row>
    <row r="149" spans="1:9" ht="48" customHeight="1" x14ac:dyDescent="0.2">
      <c r="A149" s="40" t="s">
        <v>106</v>
      </c>
      <c r="B149" s="39"/>
      <c r="C149" s="39"/>
      <c r="D149" s="39"/>
      <c r="E149" s="39"/>
      <c r="F149" s="39"/>
      <c r="G149" s="39"/>
      <c r="H149" s="39"/>
      <c r="I149" s="39"/>
    </row>
    <row r="150" spans="1:9" ht="48" customHeight="1" x14ac:dyDescent="0.2">
      <c r="A150" s="40" t="s">
        <v>107</v>
      </c>
      <c r="B150" s="39"/>
      <c r="C150" s="39"/>
      <c r="D150" s="39"/>
      <c r="E150" s="39"/>
      <c r="F150" s="39"/>
      <c r="G150" s="39"/>
      <c r="H150" s="39"/>
      <c r="I150" s="39"/>
    </row>
    <row r="151" spans="1:9" ht="31.95" customHeight="1" x14ac:dyDescent="0.2">
      <c r="A151" s="40" t="s">
        <v>108</v>
      </c>
      <c r="B151" s="39"/>
      <c r="C151" s="39"/>
      <c r="D151" s="39"/>
      <c r="E151" s="39"/>
      <c r="F151" s="39"/>
      <c r="G151" s="39"/>
      <c r="H151" s="39"/>
      <c r="I151" s="39"/>
    </row>
    <row r="152" spans="1:9" ht="18" customHeight="1" x14ac:dyDescent="0.2">
      <c r="A152" s="38" t="s">
        <v>236</v>
      </c>
      <c r="B152" s="39"/>
      <c r="C152" s="39"/>
      <c r="D152" s="39"/>
      <c r="E152" s="39"/>
      <c r="F152" s="39"/>
      <c r="G152" s="39"/>
      <c r="H152" s="39"/>
      <c r="I152" s="39"/>
    </row>
    <row r="154" spans="1:9" ht="22.05" customHeight="1" x14ac:dyDescent="0.5">
      <c r="A154" s="14" t="s">
        <v>237</v>
      </c>
    </row>
    <row r="155" spans="1:9" ht="18" customHeight="1" x14ac:dyDescent="0.2">
      <c r="A155" s="40" t="s">
        <v>442</v>
      </c>
      <c r="B155" s="39"/>
      <c r="C155" s="39"/>
      <c r="D155" s="39"/>
      <c r="E155" s="39"/>
      <c r="F155" s="39"/>
      <c r="G155" s="39"/>
      <c r="H155" s="39"/>
      <c r="I155" s="39"/>
    </row>
    <row r="156" spans="1:9" ht="31.95" customHeight="1" x14ac:dyDescent="0.2">
      <c r="A156" s="40" t="s">
        <v>443</v>
      </c>
      <c r="B156" s="39"/>
      <c r="C156" s="39"/>
      <c r="D156" s="39"/>
      <c r="E156" s="39"/>
      <c r="F156" s="39"/>
      <c r="G156" s="39"/>
      <c r="H156" s="39"/>
      <c r="I156" s="39"/>
    </row>
    <row r="157" spans="1:9" ht="18" customHeight="1" x14ac:dyDescent="0.2">
      <c r="A157" s="40" t="s">
        <v>444</v>
      </c>
      <c r="B157" s="39"/>
      <c r="C157" s="39"/>
      <c r="D157" s="39"/>
      <c r="E157" s="39"/>
      <c r="F157" s="39"/>
      <c r="G157" s="39"/>
      <c r="H157" s="39"/>
      <c r="I157" s="39"/>
    </row>
    <row r="158" spans="1:9" ht="18" customHeight="1" x14ac:dyDescent="0.2">
      <c r="A158" s="40" t="s">
        <v>445</v>
      </c>
      <c r="B158" s="39"/>
      <c r="C158" s="39"/>
      <c r="D158" s="39"/>
      <c r="E158" s="39"/>
      <c r="F158" s="39"/>
      <c r="G158" s="39"/>
      <c r="H158" s="39"/>
      <c r="I158" s="39"/>
    </row>
  </sheetData>
  <mergeCells count="34">
    <mergeCell ref="A69:I69"/>
    <mergeCell ref="A121:I121"/>
    <mergeCell ref="A155:I155"/>
    <mergeCell ref="A157:I157"/>
    <mergeCell ref="A148:I148"/>
    <mergeCell ref="A82:I82"/>
    <mergeCell ref="A142:I142"/>
    <mergeCell ref="A88:I88"/>
    <mergeCell ref="A132:I132"/>
    <mergeCell ref="A146:I146"/>
    <mergeCell ref="A104:I104"/>
    <mergeCell ref="A113:I113"/>
    <mergeCell ref="A2:I2"/>
    <mergeCell ref="A129:I129"/>
    <mergeCell ref="A151:I151"/>
    <mergeCell ref="A141:I141"/>
    <mergeCell ref="A17:I17"/>
    <mergeCell ref="A23:I23"/>
    <mergeCell ref="A150:I150"/>
    <mergeCell ref="A140:I140"/>
    <mergeCell ref="A135:I135"/>
    <mergeCell ref="A22:I22"/>
    <mergeCell ref="A62:I62"/>
    <mergeCell ref="A96:I96"/>
    <mergeCell ref="A147:I147"/>
    <mergeCell ref="A134:I134"/>
    <mergeCell ref="A133:I133"/>
    <mergeCell ref="A149:I149"/>
    <mergeCell ref="A158:I158"/>
    <mergeCell ref="A136:I136"/>
    <mergeCell ref="A145:I145"/>
    <mergeCell ref="A139:I139"/>
    <mergeCell ref="A156:I156"/>
    <mergeCell ref="A152:I152"/>
  </mergeCells>
  <phoneticPr fontId="8"/>
  <pageMargins left="0.75" right="0.75" top="1" bottom="1" header="0.5" footer="0.5"/>
  <pageSetup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137"/>
  <sheetViews>
    <sheetView showGridLines="0" workbookViewId="0"/>
  </sheetViews>
  <sheetFormatPr defaultRowHeight="13.2" x14ac:dyDescent="0.2"/>
  <cols>
    <col min="1" max="1" width="40" customWidth="1"/>
    <col min="2" max="11" width="15" customWidth="1"/>
  </cols>
  <sheetData>
    <row r="1" spans="1:9" ht="25.95" customHeight="1" x14ac:dyDescent="0.6">
      <c r="A1" s="1" t="s">
        <v>41</v>
      </c>
    </row>
    <row r="2" spans="1:9" ht="64.05" customHeight="1" x14ac:dyDescent="0.2">
      <c r="A2" s="38" t="s">
        <v>446</v>
      </c>
      <c r="B2" s="39"/>
      <c r="C2" s="39"/>
      <c r="D2" s="39"/>
      <c r="E2" s="39"/>
      <c r="F2" s="39"/>
      <c r="G2" s="39"/>
      <c r="H2" s="39"/>
      <c r="I2" s="39"/>
    </row>
    <row r="4" spans="1:9" ht="22.05" customHeight="1" x14ac:dyDescent="0.5">
      <c r="A4" s="14" t="s">
        <v>124</v>
      </c>
    </row>
    <row r="5" spans="1:9" ht="30" customHeight="1" x14ac:dyDescent="0.2">
      <c r="A5" s="4" t="s">
        <v>125</v>
      </c>
      <c r="B5" s="4" t="s">
        <v>447</v>
      </c>
      <c r="C5" s="4" t="s">
        <v>448</v>
      </c>
      <c r="D5" s="4" t="s">
        <v>449</v>
      </c>
      <c r="E5" s="4" t="s">
        <v>130</v>
      </c>
      <c r="F5" s="4" t="s">
        <v>52</v>
      </c>
    </row>
    <row r="6" spans="1:9" ht="18" x14ac:dyDescent="0.45">
      <c r="A6" s="22">
        <v>2016</v>
      </c>
      <c r="B6" s="8">
        <v>17625</v>
      </c>
      <c r="C6" s="27">
        <v>13.9</v>
      </c>
      <c r="D6" s="23" t="s">
        <v>37</v>
      </c>
      <c r="E6" s="24" t="s">
        <v>131</v>
      </c>
      <c r="F6" s="21" t="s">
        <v>450</v>
      </c>
    </row>
    <row r="7" spans="1:9" ht="18" x14ac:dyDescent="0.45">
      <c r="A7" s="22">
        <v>2017</v>
      </c>
      <c r="B7" s="8">
        <v>16789</v>
      </c>
      <c r="C7" s="27">
        <v>13.3</v>
      </c>
      <c r="D7" s="23">
        <f t="shared" ref="D7:D15" si="0">IF(B6="","",B7/B6-1)</f>
        <v>-4.7432624113475153E-2</v>
      </c>
      <c r="E7" s="24" t="s">
        <v>131</v>
      </c>
      <c r="F7" s="21" t="s">
        <v>450</v>
      </c>
    </row>
    <row r="8" spans="1:9" ht="18" x14ac:dyDescent="0.45">
      <c r="A8" s="22">
        <v>2018</v>
      </c>
      <c r="B8" s="8">
        <v>15590</v>
      </c>
      <c r="C8" s="27">
        <v>12.3</v>
      </c>
      <c r="D8" s="23">
        <f t="shared" si="0"/>
        <v>-7.1415807969503864E-2</v>
      </c>
      <c r="E8" s="24" t="s">
        <v>131</v>
      </c>
      <c r="F8" s="21" t="s">
        <v>450</v>
      </c>
    </row>
    <row r="9" spans="1:9" ht="18" x14ac:dyDescent="0.45">
      <c r="A9" s="22">
        <v>2019</v>
      </c>
      <c r="B9" s="8">
        <v>14460</v>
      </c>
      <c r="C9" s="27">
        <v>11.5</v>
      </c>
      <c r="D9" s="23">
        <f t="shared" si="0"/>
        <v>-7.2482360487492015E-2</v>
      </c>
      <c r="E9" s="24" t="s">
        <v>131</v>
      </c>
      <c r="F9" s="21" t="s">
        <v>450</v>
      </c>
    </row>
    <row r="10" spans="1:9" ht="18" x14ac:dyDescent="0.45">
      <c r="A10" s="22">
        <v>2020</v>
      </c>
      <c r="B10" s="8">
        <v>12739</v>
      </c>
      <c r="C10" s="27">
        <v>10.1</v>
      </c>
      <c r="D10" s="23">
        <f t="shared" si="0"/>
        <v>-0.11901798063623792</v>
      </c>
      <c r="E10" s="24" t="s">
        <v>131</v>
      </c>
      <c r="F10" s="21" t="s">
        <v>450</v>
      </c>
    </row>
    <row r="11" spans="1:9" ht="18" x14ac:dyDescent="0.45">
      <c r="A11" s="22">
        <v>2021</v>
      </c>
      <c r="B11" s="8">
        <v>11519</v>
      </c>
      <c r="C11" s="27">
        <v>9.1999999999999993</v>
      </c>
      <c r="D11" s="23">
        <f t="shared" si="0"/>
        <v>-9.5768898657665469E-2</v>
      </c>
      <c r="E11" s="24" t="s">
        <v>131</v>
      </c>
      <c r="F11" s="21" t="s">
        <v>450</v>
      </c>
    </row>
    <row r="12" spans="1:9" ht="18" x14ac:dyDescent="0.45">
      <c r="A12" s="22">
        <v>2022</v>
      </c>
      <c r="B12" s="8">
        <v>10235</v>
      </c>
      <c r="C12" s="27">
        <v>8.1999999999999993</v>
      </c>
      <c r="D12" s="23">
        <f t="shared" si="0"/>
        <v>-0.11146800937581391</v>
      </c>
      <c r="E12" s="24" t="s">
        <v>131</v>
      </c>
      <c r="F12" s="21" t="s">
        <v>450</v>
      </c>
    </row>
    <row r="13" spans="1:9" ht="18" x14ac:dyDescent="0.45">
      <c r="A13" s="22">
        <v>2023</v>
      </c>
      <c r="B13" s="8">
        <v>10096</v>
      </c>
      <c r="C13" s="27">
        <v>8.1</v>
      </c>
      <c r="D13" s="23">
        <f t="shared" si="0"/>
        <v>-1.3580850024425994E-2</v>
      </c>
      <c r="E13" s="24" t="s">
        <v>131</v>
      </c>
      <c r="F13" s="21" t="s">
        <v>450</v>
      </c>
    </row>
    <row r="14" spans="1:9" ht="18" x14ac:dyDescent="0.45">
      <c r="A14" s="22">
        <v>2024</v>
      </c>
      <c r="B14" s="8">
        <v>10051</v>
      </c>
      <c r="C14" s="27">
        <v>8.1</v>
      </c>
      <c r="D14" s="23">
        <f t="shared" si="0"/>
        <v>-4.4572107765451507E-3</v>
      </c>
      <c r="E14" s="24" t="s">
        <v>131</v>
      </c>
      <c r="F14" s="21" t="s">
        <v>450</v>
      </c>
    </row>
    <row r="15" spans="1:9" ht="18" x14ac:dyDescent="0.45">
      <c r="A15" s="22">
        <v>2025</v>
      </c>
      <c r="B15" s="8">
        <v>9899</v>
      </c>
      <c r="C15" s="27">
        <v>8</v>
      </c>
      <c r="D15" s="23">
        <f t="shared" si="0"/>
        <v>-1.5122873345935761E-2</v>
      </c>
      <c r="E15" s="24" t="s">
        <v>131</v>
      </c>
      <c r="F15" s="21" t="s">
        <v>450</v>
      </c>
    </row>
    <row r="16" spans="1:9" ht="18" customHeight="1" x14ac:dyDescent="0.2">
      <c r="A16" s="38" t="s">
        <v>133</v>
      </c>
      <c r="B16" s="39"/>
      <c r="C16" s="39"/>
      <c r="D16" s="39"/>
      <c r="E16" s="39"/>
      <c r="F16" s="39"/>
      <c r="G16" s="39"/>
      <c r="H16" s="39"/>
      <c r="I16" s="39"/>
    </row>
    <row r="18" spans="1:9" ht="22.05" customHeight="1" x14ac:dyDescent="0.5">
      <c r="A18" s="14" t="s">
        <v>134</v>
      </c>
    </row>
    <row r="19" spans="1:9" ht="30" customHeight="1" x14ac:dyDescent="0.2">
      <c r="A19" s="4" t="s">
        <v>135</v>
      </c>
      <c r="B19" s="4" t="s">
        <v>136</v>
      </c>
      <c r="C19" s="4" t="s">
        <v>137</v>
      </c>
      <c r="D19" s="4" t="s">
        <v>138</v>
      </c>
      <c r="E19" s="4" t="s">
        <v>34</v>
      </c>
      <c r="F19" s="4" t="s">
        <v>130</v>
      </c>
      <c r="G19" s="4" t="s">
        <v>52</v>
      </c>
    </row>
    <row r="20" spans="1:9" ht="49.95" customHeight="1" x14ac:dyDescent="0.45">
      <c r="A20" s="3" t="s">
        <v>451</v>
      </c>
      <c r="B20" s="3" t="s">
        <v>325</v>
      </c>
      <c r="C20" s="8">
        <v>11543</v>
      </c>
      <c r="D20" s="8">
        <v>11145</v>
      </c>
      <c r="E20" s="9">
        <f>C20/D20-1</f>
        <v>3.5711081202332906E-2</v>
      </c>
      <c r="F20" s="24" t="s">
        <v>140</v>
      </c>
      <c r="G20" s="21" t="s">
        <v>452</v>
      </c>
    </row>
    <row r="21" spans="1:9" ht="18" customHeight="1" x14ac:dyDescent="0.2">
      <c r="A21" s="38" t="s">
        <v>453</v>
      </c>
      <c r="B21" s="39"/>
      <c r="C21" s="39"/>
      <c r="D21" s="39"/>
      <c r="E21" s="39"/>
      <c r="F21" s="39"/>
      <c r="G21" s="39"/>
      <c r="H21" s="39"/>
      <c r="I21" s="39"/>
    </row>
    <row r="22" spans="1:9" ht="64.05" customHeight="1" x14ac:dyDescent="0.2">
      <c r="A22" s="38" t="s">
        <v>454</v>
      </c>
      <c r="B22" s="39"/>
      <c r="C22" s="39"/>
      <c r="D22" s="39"/>
      <c r="E22" s="39"/>
      <c r="F22" s="39"/>
      <c r="G22" s="39"/>
      <c r="H22" s="39"/>
      <c r="I22" s="39"/>
    </row>
    <row r="24" spans="1:9" ht="22.05" customHeight="1" x14ac:dyDescent="0.5">
      <c r="A24" s="14" t="s">
        <v>149</v>
      </c>
    </row>
    <row r="25" spans="1:9" ht="30" customHeight="1" x14ac:dyDescent="0.2">
      <c r="A25" s="4" t="s">
        <v>130</v>
      </c>
      <c r="B25" s="4" t="s">
        <v>447</v>
      </c>
      <c r="C25" s="4" t="s">
        <v>455</v>
      </c>
      <c r="D25" s="4" t="s">
        <v>448</v>
      </c>
      <c r="E25" s="4" t="s">
        <v>52</v>
      </c>
    </row>
    <row r="26" spans="1:9" ht="18" x14ac:dyDescent="0.45">
      <c r="A26" s="3" t="s">
        <v>456</v>
      </c>
      <c r="B26" s="8">
        <v>9899</v>
      </c>
      <c r="C26" s="27">
        <v>100</v>
      </c>
      <c r="D26" s="27">
        <v>8</v>
      </c>
      <c r="E26" s="21" t="s">
        <v>450</v>
      </c>
    </row>
    <row r="27" spans="1:9" ht="18" x14ac:dyDescent="0.45">
      <c r="A27" s="3" t="s">
        <v>457</v>
      </c>
      <c r="B27" s="8">
        <v>16</v>
      </c>
      <c r="C27" s="27">
        <v>0.2</v>
      </c>
      <c r="D27" s="27">
        <v>0.4</v>
      </c>
      <c r="E27" s="21" t="s">
        <v>450</v>
      </c>
    </row>
    <row r="28" spans="1:9" ht="18" x14ac:dyDescent="0.45">
      <c r="A28" s="3" t="s">
        <v>458</v>
      </c>
      <c r="B28" s="8">
        <v>9</v>
      </c>
      <c r="C28" s="27">
        <v>0.1</v>
      </c>
      <c r="D28" s="27">
        <v>0.2</v>
      </c>
      <c r="E28" s="21" t="s">
        <v>450</v>
      </c>
    </row>
    <row r="29" spans="1:9" ht="18" x14ac:dyDescent="0.45">
      <c r="A29" s="3" t="s">
        <v>459</v>
      </c>
      <c r="B29" s="8">
        <v>6</v>
      </c>
      <c r="C29" s="27">
        <v>0.1</v>
      </c>
      <c r="D29" s="27">
        <v>0.1</v>
      </c>
      <c r="E29" s="21" t="s">
        <v>450</v>
      </c>
    </row>
    <row r="30" spans="1:9" ht="18" x14ac:dyDescent="0.45">
      <c r="A30" s="3" t="s">
        <v>460</v>
      </c>
      <c r="B30" s="8">
        <v>115</v>
      </c>
      <c r="C30" s="27">
        <v>1.2</v>
      </c>
      <c r="D30" s="27">
        <v>2.1</v>
      </c>
      <c r="E30" s="21" t="s">
        <v>450</v>
      </c>
    </row>
    <row r="31" spans="1:9" ht="18" x14ac:dyDescent="0.45">
      <c r="A31" s="3" t="s">
        <v>461</v>
      </c>
      <c r="B31" s="8">
        <v>1627</v>
      </c>
      <c r="C31" s="27">
        <v>16.399999999999999</v>
      </c>
      <c r="D31" s="27">
        <v>12.8</v>
      </c>
      <c r="E31" s="21" t="s">
        <v>450</v>
      </c>
    </row>
    <row r="32" spans="1:9" ht="18" x14ac:dyDescent="0.45">
      <c r="A32" s="3" t="s">
        <v>462</v>
      </c>
      <c r="B32" s="8">
        <v>574</v>
      </c>
      <c r="C32" s="27">
        <v>5.8</v>
      </c>
      <c r="D32" s="27">
        <v>4.4000000000000004</v>
      </c>
      <c r="E32" s="21" t="s">
        <v>450</v>
      </c>
    </row>
    <row r="33" spans="1:5" ht="18" x14ac:dyDescent="0.45">
      <c r="A33" s="3" t="s">
        <v>463</v>
      </c>
      <c r="B33" s="8">
        <v>457</v>
      </c>
      <c r="C33" s="27">
        <v>4.5999999999999996</v>
      </c>
      <c r="D33" s="27">
        <v>2.9</v>
      </c>
      <c r="E33" s="21" t="s">
        <v>450</v>
      </c>
    </row>
    <row r="34" spans="1:5" ht="18" x14ac:dyDescent="0.45">
      <c r="A34" s="3" t="s">
        <v>464</v>
      </c>
      <c r="B34" s="8">
        <v>657</v>
      </c>
      <c r="C34" s="27">
        <v>6.6</v>
      </c>
      <c r="D34" s="27">
        <v>3.6</v>
      </c>
      <c r="E34" s="21" t="s">
        <v>450</v>
      </c>
    </row>
    <row r="35" spans="1:5" ht="18" x14ac:dyDescent="0.45">
      <c r="A35" s="3" t="s">
        <v>465</v>
      </c>
      <c r="B35" s="8">
        <v>761</v>
      </c>
      <c r="C35" s="27">
        <v>7.7</v>
      </c>
      <c r="D35" s="27">
        <v>5.0999999999999996</v>
      </c>
      <c r="E35" s="21" t="s">
        <v>450</v>
      </c>
    </row>
    <row r="36" spans="1:5" ht="18" x14ac:dyDescent="0.45">
      <c r="A36" s="3" t="s">
        <v>466</v>
      </c>
      <c r="B36" s="8">
        <v>1640</v>
      </c>
      <c r="C36" s="27">
        <v>16.600000000000001</v>
      </c>
      <c r="D36" s="27">
        <v>10.199999999999999</v>
      </c>
      <c r="E36" s="21" t="s">
        <v>450</v>
      </c>
    </row>
    <row r="37" spans="1:5" ht="18" x14ac:dyDescent="0.45">
      <c r="A37" s="3" t="s">
        <v>467</v>
      </c>
      <c r="B37" s="8">
        <v>2705</v>
      </c>
      <c r="C37" s="27">
        <v>27.3</v>
      </c>
      <c r="D37" s="27">
        <v>27.1</v>
      </c>
      <c r="E37" s="21" t="s">
        <v>450</v>
      </c>
    </row>
    <row r="38" spans="1:5" ht="18" x14ac:dyDescent="0.45">
      <c r="A38" s="3" t="s">
        <v>468</v>
      </c>
      <c r="B38" s="8">
        <v>1332</v>
      </c>
      <c r="C38" s="27">
        <v>13.5</v>
      </c>
      <c r="D38" s="27">
        <v>47.1</v>
      </c>
      <c r="E38" s="21" t="s">
        <v>450</v>
      </c>
    </row>
    <row r="40" spans="1:5" ht="22.05" customHeight="1" x14ac:dyDescent="0.5">
      <c r="A40" s="14" t="s">
        <v>469</v>
      </c>
    </row>
    <row r="41" spans="1:5" ht="30" customHeight="1" x14ac:dyDescent="0.2">
      <c r="A41" s="4" t="s">
        <v>130</v>
      </c>
      <c r="B41" s="4" t="s">
        <v>166</v>
      </c>
      <c r="C41" s="4" t="s">
        <v>448</v>
      </c>
      <c r="D41" s="4" t="s">
        <v>338</v>
      </c>
      <c r="E41" s="4" t="s">
        <v>52</v>
      </c>
    </row>
    <row r="42" spans="1:5" ht="18" x14ac:dyDescent="0.45">
      <c r="A42" s="3" t="s">
        <v>172</v>
      </c>
      <c r="B42" s="25">
        <v>1</v>
      </c>
      <c r="C42" s="27">
        <v>13.4</v>
      </c>
      <c r="D42" s="8">
        <v>1172</v>
      </c>
      <c r="E42" s="21" t="s">
        <v>450</v>
      </c>
    </row>
    <row r="43" spans="1:5" ht="18" x14ac:dyDescent="0.45">
      <c r="A43" s="3" t="s">
        <v>470</v>
      </c>
      <c r="B43" s="25">
        <v>2</v>
      </c>
      <c r="C43" s="27">
        <v>10.5</v>
      </c>
      <c r="D43" s="8">
        <v>71</v>
      </c>
      <c r="E43" s="21" t="s">
        <v>450</v>
      </c>
    </row>
    <row r="44" spans="1:5" ht="18" x14ac:dyDescent="0.45">
      <c r="A44" s="3" t="s">
        <v>471</v>
      </c>
      <c r="B44" s="25">
        <v>3</v>
      </c>
      <c r="C44" s="27">
        <v>10.4</v>
      </c>
      <c r="D44" s="8">
        <v>196</v>
      </c>
      <c r="E44" s="21" t="s">
        <v>450</v>
      </c>
    </row>
    <row r="45" spans="1:5" ht="18" x14ac:dyDescent="0.45">
      <c r="A45" s="3" t="s">
        <v>427</v>
      </c>
      <c r="B45" s="25">
        <v>4</v>
      </c>
      <c r="C45" s="27">
        <v>10.3</v>
      </c>
      <c r="D45" s="8">
        <v>156</v>
      </c>
      <c r="E45" s="21" t="s">
        <v>450</v>
      </c>
    </row>
    <row r="46" spans="1:5" ht="18" x14ac:dyDescent="0.45">
      <c r="A46" s="3" t="s">
        <v>389</v>
      </c>
      <c r="B46" s="25">
        <v>5</v>
      </c>
      <c r="C46" s="27">
        <v>10.1</v>
      </c>
      <c r="D46" s="8">
        <v>536</v>
      </c>
      <c r="E46" s="21" t="s">
        <v>450</v>
      </c>
    </row>
    <row r="48" spans="1:5" ht="22.05" customHeight="1" x14ac:dyDescent="0.5">
      <c r="A48" s="14" t="s">
        <v>472</v>
      </c>
    </row>
    <row r="49" spans="1:4" ht="30" customHeight="1" x14ac:dyDescent="0.2">
      <c r="A49" s="4" t="s">
        <v>130</v>
      </c>
      <c r="B49" s="4" t="s">
        <v>338</v>
      </c>
      <c r="C49" s="4" t="s">
        <v>473</v>
      </c>
      <c r="D49" s="4" t="s">
        <v>52</v>
      </c>
    </row>
    <row r="50" spans="1:4" ht="30" customHeight="1" x14ac:dyDescent="0.45">
      <c r="A50" s="3" t="s">
        <v>474</v>
      </c>
      <c r="B50" s="8">
        <v>2352</v>
      </c>
      <c r="C50" s="27">
        <v>23.8</v>
      </c>
      <c r="D50" s="21" t="s">
        <v>450</v>
      </c>
    </row>
    <row r="51" spans="1:4" ht="30" customHeight="1" x14ac:dyDescent="0.45">
      <c r="A51" s="3" t="s">
        <v>475</v>
      </c>
      <c r="B51" s="8">
        <v>1470</v>
      </c>
      <c r="C51" s="27">
        <v>62.5</v>
      </c>
      <c r="D51" s="21" t="s">
        <v>450</v>
      </c>
    </row>
    <row r="52" spans="1:4" ht="18" x14ac:dyDescent="0.45">
      <c r="A52" s="3" t="s">
        <v>476</v>
      </c>
      <c r="B52" s="8">
        <v>7400</v>
      </c>
      <c r="C52" s="29" t="s">
        <v>340</v>
      </c>
      <c r="D52" s="21" t="s">
        <v>450</v>
      </c>
    </row>
    <row r="54" spans="1:4" ht="22.05" customHeight="1" x14ac:dyDescent="0.5">
      <c r="A54" s="14" t="s">
        <v>477</v>
      </c>
    </row>
    <row r="55" spans="1:4" ht="30" customHeight="1" x14ac:dyDescent="0.2">
      <c r="A55" s="4" t="s">
        <v>130</v>
      </c>
      <c r="B55" s="4" t="s">
        <v>338</v>
      </c>
      <c r="C55" s="4" t="s">
        <v>478</v>
      </c>
      <c r="D55" s="4" t="s">
        <v>52</v>
      </c>
    </row>
    <row r="56" spans="1:4" ht="18" x14ac:dyDescent="0.45">
      <c r="A56" s="3" t="s">
        <v>205</v>
      </c>
      <c r="B56" s="8">
        <v>1313</v>
      </c>
      <c r="C56" s="27">
        <v>11.4</v>
      </c>
      <c r="D56" s="21" t="s">
        <v>450</v>
      </c>
    </row>
    <row r="57" spans="1:4" ht="18" x14ac:dyDescent="0.45">
      <c r="A57" s="3" t="s">
        <v>206</v>
      </c>
      <c r="B57" s="8">
        <v>1214</v>
      </c>
      <c r="C57" s="27">
        <v>11.9</v>
      </c>
      <c r="D57" s="21" t="s">
        <v>450</v>
      </c>
    </row>
    <row r="58" spans="1:4" ht="18" x14ac:dyDescent="0.45">
      <c r="A58" s="3" t="s">
        <v>207</v>
      </c>
      <c r="B58" s="8">
        <v>1619</v>
      </c>
      <c r="C58" s="27">
        <v>16</v>
      </c>
      <c r="D58" s="21" t="s">
        <v>450</v>
      </c>
    </row>
    <row r="59" spans="1:4" ht="18" x14ac:dyDescent="0.45">
      <c r="A59" s="3" t="s">
        <v>208</v>
      </c>
      <c r="B59" s="8">
        <v>1980</v>
      </c>
      <c r="C59" s="27">
        <v>19.7</v>
      </c>
      <c r="D59" s="21" t="s">
        <v>450</v>
      </c>
    </row>
    <row r="60" spans="1:4" ht="18" x14ac:dyDescent="0.45">
      <c r="A60" s="3" t="s">
        <v>209</v>
      </c>
      <c r="B60" s="8">
        <v>2352</v>
      </c>
      <c r="C60" s="27">
        <v>23.8</v>
      </c>
      <c r="D60" s="21" t="s">
        <v>450</v>
      </c>
    </row>
    <row r="62" spans="1:4" ht="22.05" customHeight="1" x14ac:dyDescent="0.5">
      <c r="A62" s="14" t="s">
        <v>479</v>
      </c>
    </row>
    <row r="63" spans="1:4" ht="30" customHeight="1" x14ac:dyDescent="0.2">
      <c r="A63" s="4" t="s">
        <v>130</v>
      </c>
      <c r="B63" s="4" t="s">
        <v>338</v>
      </c>
      <c r="C63" s="4" t="s">
        <v>480</v>
      </c>
      <c r="D63" s="4" t="s">
        <v>52</v>
      </c>
    </row>
    <row r="64" spans="1:4" ht="18" x14ac:dyDescent="0.45">
      <c r="A64" s="3" t="s">
        <v>457</v>
      </c>
      <c r="B64" s="8">
        <v>4</v>
      </c>
      <c r="C64" s="27">
        <v>25</v>
      </c>
      <c r="D64" s="21" t="s">
        <v>450</v>
      </c>
    </row>
    <row r="65" spans="1:4" ht="18" x14ac:dyDescent="0.45">
      <c r="A65" s="3" t="s">
        <v>458</v>
      </c>
      <c r="B65" s="8">
        <v>2</v>
      </c>
      <c r="C65" s="27">
        <v>22.2</v>
      </c>
      <c r="D65" s="21" t="s">
        <v>450</v>
      </c>
    </row>
    <row r="66" spans="1:4" ht="18" x14ac:dyDescent="0.45">
      <c r="A66" s="3" t="s">
        <v>459</v>
      </c>
      <c r="B66" s="8">
        <v>4</v>
      </c>
      <c r="C66" s="27">
        <v>66.7</v>
      </c>
      <c r="D66" s="21" t="s">
        <v>450</v>
      </c>
    </row>
    <row r="67" spans="1:4" ht="18" x14ac:dyDescent="0.45">
      <c r="A67" s="3" t="s">
        <v>460</v>
      </c>
      <c r="B67" s="8">
        <v>99</v>
      </c>
      <c r="C67" s="27">
        <v>86.1</v>
      </c>
      <c r="D67" s="21" t="s">
        <v>450</v>
      </c>
    </row>
    <row r="68" spans="1:4" ht="18" x14ac:dyDescent="0.45">
      <c r="A68" s="3" t="s">
        <v>461</v>
      </c>
      <c r="B68" s="8">
        <v>1483</v>
      </c>
      <c r="C68" s="27">
        <v>91.1</v>
      </c>
      <c r="D68" s="21" t="s">
        <v>450</v>
      </c>
    </row>
    <row r="69" spans="1:4" ht="18" x14ac:dyDescent="0.45">
      <c r="A69" s="3" t="s">
        <v>462</v>
      </c>
      <c r="B69" s="8">
        <v>421</v>
      </c>
      <c r="C69" s="27">
        <v>73.3</v>
      </c>
      <c r="D69" s="21" t="s">
        <v>450</v>
      </c>
    </row>
    <row r="70" spans="1:4" ht="18" x14ac:dyDescent="0.45">
      <c r="A70" s="3" t="s">
        <v>463</v>
      </c>
      <c r="B70" s="8">
        <v>143</v>
      </c>
      <c r="C70" s="27">
        <v>31.3</v>
      </c>
      <c r="D70" s="21" t="s">
        <v>450</v>
      </c>
    </row>
    <row r="71" spans="1:4" ht="18" x14ac:dyDescent="0.45">
      <c r="A71" s="3" t="s">
        <v>464</v>
      </c>
      <c r="B71" s="8">
        <v>86</v>
      </c>
      <c r="C71" s="27">
        <v>13.1</v>
      </c>
      <c r="D71" s="21" t="s">
        <v>450</v>
      </c>
    </row>
    <row r="72" spans="1:4" ht="18" x14ac:dyDescent="0.45">
      <c r="A72" s="3" t="s">
        <v>465</v>
      </c>
      <c r="B72" s="8">
        <v>56</v>
      </c>
      <c r="C72" s="27">
        <v>7.4</v>
      </c>
      <c r="D72" s="21" t="s">
        <v>450</v>
      </c>
    </row>
    <row r="73" spans="1:4" ht="18" x14ac:dyDescent="0.45">
      <c r="A73" s="3" t="s">
        <v>466</v>
      </c>
      <c r="B73" s="8">
        <v>24</v>
      </c>
      <c r="C73" s="27">
        <v>1.5</v>
      </c>
      <c r="D73" s="21" t="s">
        <v>450</v>
      </c>
    </row>
    <row r="74" spans="1:4" ht="18" x14ac:dyDescent="0.45">
      <c r="A74" s="3" t="s">
        <v>481</v>
      </c>
      <c r="B74" s="8">
        <v>30</v>
      </c>
      <c r="C74" s="27">
        <v>0.7</v>
      </c>
      <c r="D74" s="21" t="s">
        <v>450</v>
      </c>
    </row>
    <row r="76" spans="1:4" ht="22.05" customHeight="1" x14ac:dyDescent="0.5">
      <c r="A76" s="14" t="s">
        <v>482</v>
      </c>
    </row>
    <row r="77" spans="1:4" ht="30" customHeight="1" x14ac:dyDescent="0.2">
      <c r="A77" s="4" t="s">
        <v>130</v>
      </c>
      <c r="B77" s="4" t="s">
        <v>447</v>
      </c>
      <c r="C77" s="4" t="s">
        <v>473</v>
      </c>
      <c r="D77" s="4" t="s">
        <v>52</v>
      </c>
    </row>
    <row r="78" spans="1:4" ht="18" x14ac:dyDescent="0.45">
      <c r="A78" s="3" t="s">
        <v>467</v>
      </c>
      <c r="B78" s="8">
        <v>2705</v>
      </c>
      <c r="C78" s="27">
        <v>27.3</v>
      </c>
      <c r="D78" s="21" t="s">
        <v>450</v>
      </c>
    </row>
    <row r="79" spans="1:4" ht="18" x14ac:dyDescent="0.45">
      <c r="A79" s="3" t="s">
        <v>468</v>
      </c>
      <c r="B79" s="8">
        <v>1332</v>
      </c>
      <c r="C79" s="27">
        <v>13.5</v>
      </c>
      <c r="D79" s="21" t="s">
        <v>450</v>
      </c>
    </row>
    <row r="80" spans="1:4" ht="30" customHeight="1" x14ac:dyDescent="0.45">
      <c r="A80" s="3" t="s">
        <v>483</v>
      </c>
      <c r="B80" s="8">
        <v>4037</v>
      </c>
      <c r="C80" s="27">
        <v>40.799999999999997</v>
      </c>
      <c r="D80" s="21" t="s">
        <v>450</v>
      </c>
    </row>
    <row r="81" spans="1:4" ht="30" customHeight="1" x14ac:dyDescent="0.45">
      <c r="A81" s="3" t="s">
        <v>484</v>
      </c>
      <c r="B81" s="8">
        <v>5677</v>
      </c>
      <c r="C81" s="27">
        <v>57.3</v>
      </c>
      <c r="D81" s="21" t="s">
        <v>450</v>
      </c>
    </row>
    <row r="83" spans="1:4" ht="22.05" customHeight="1" x14ac:dyDescent="0.5">
      <c r="A83" s="14" t="s">
        <v>485</v>
      </c>
    </row>
    <row r="84" spans="1:4" ht="30" customHeight="1" x14ac:dyDescent="0.2">
      <c r="A84" s="4" t="s">
        <v>130</v>
      </c>
      <c r="B84" s="4" t="s">
        <v>447</v>
      </c>
      <c r="C84" s="4" t="s">
        <v>448</v>
      </c>
      <c r="D84" s="4" t="s">
        <v>52</v>
      </c>
    </row>
    <row r="85" spans="1:4" ht="18" x14ac:dyDescent="0.45">
      <c r="A85" s="3" t="s">
        <v>486</v>
      </c>
      <c r="B85" s="8">
        <v>35</v>
      </c>
      <c r="C85" s="27">
        <v>4.5</v>
      </c>
      <c r="D85" s="21" t="s">
        <v>450</v>
      </c>
    </row>
    <row r="86" spans="1:4" ht="18" x14ac:dyDescent="0.45">
      <c r="A86" s="3" t="s">
        <v>487</v>
      </c>
      <c r="B86" s="8">
        <v>52</v>
      </c>
      <c r="C86" s="27">
        <v>4.5999999999999996</v>
      </c>
      <c r="D86" s="21" t="s">
        <v>450</v>
      </c>
    </row>
    <row r="87" spans="1:4" ht="18" x14ac:dyDescent="0.45">
      <c r="A87" s="3" t="s">
        <v>488</v>
      </c>
      <c r="B87" s="8">
        <v>97</v>
      </c>
      <c r="C87" s="27">
        <v>4.7</v>
      </c>
      <c r="D87" s="21" t="s">
        <v>450</v>
      </c>
    </row>
    <row r="88" spans="1:4" ht="18" x14ac:dyDescent="0.45">
      <c r="A88" s="3" t="s">
        <v>489</v>
      </c>
      <c r="B88" s="8">
        <v>42</v>
      </c>
      <c r="C88" s="27">
        <v>4.8</v>
      </c>
      <c r="D88" s="21" t="s">
        <v>450</v>
      </c>
    </row>
    <row r="89" spans="1:4" ht="18" x14ac:dyDescent="0.45">
      <c r="A89" s="3" t="s">
        <v>490</v>
      </c>
      <c r="B89" s="8">
        <v>112</v>
      </c>
      <c r="C89" s="27">
        <v>5</v>
      </c>
      <c r="D89" s="21" t="s">
        <v>450</v>
      </c>
    </row>
    <row r="91" spans="1:4" ht="22.05" customHeight="1" x14ac:dyDescent="0.5">
      <c r="A91" s="14" t="s">
        <v>491</v>
      </c>
    </row>
    <row r="92" spans="1:4" ht="30" customHeight="1" x14ac:dyDescent="0.2">
      <c r="A92" s="4" t="s">
        <v>130</v>
      </c>
      <c r="B92" s="4" t="s">
        <v>492</v>
      </c>
      <c r="C92" s="4" t="s">
        <v>493</v>
      </c>
      <c r="D92" s="4" t="s">
        <v>52</v>
      </c>
    </row>
    <row r="93" spans="1:4" ht="18" x14ac:dyDescent="0.45">
      <c r="A93" s="3" t="s">
        <v>351</v>
      </c>
      <c r="B93" s="8">
        <v>1893</v>
      </c>
      <c r="C93" s="27">
        <v>1.5</v>
      </c>
      <c r="D93" s="21" t="s">
        <v>450</v>
      </c>
    </row>
    <row r="94" spans="1:4" ht="18" x14ac:dyDescent="0.45">
      <c r="A94" s="3" t="s">
        <v>352</v>
      </c>
      <c r="B94" s="8">
        <v>2306</v>
      </c>
      <c r="C94" s="27">
        <v>1.9</v>
      </c>
      <c r="D94" s="21" t="s">
        <v>450</v>
      </c>
    </row>
    <row r="95" spans="1:4" ht="18" x14ac:dyDescent="0.45">
      <c r="A95" s="3" t="s">
        <v>353</v>
      </c>
      <c r="B95" s="8">
        <v>2204</v>
      </c>
      <c r="C95" s="27">
        <v>1.8</v>
      </c>
      <c r="D95" s="21" t="s">
        <v>450</v>
      </c>
    </row>
    <row r="96" spans="1:4" ht="18" x14ac:dyDescent="0.45">
      <c r="A96" s="3" t="s">
        <v>203</v>
      </c>
      <c r="B96" s="8">
        <v>2087</v>
      </c>
      <c r="C96" s="27">
        <v>1.7</v>
      </c>
      <c r="D96" s="21" t="s">
        <v>450</v>
      </c>
    </row>
    <row r="97" spans="1:9" ht="18" x14ac:dyDescent="0.45">
      <c r="A97" s="3" t="s">
        <v>204</v>
      </c>
      <c r="B97" s="8">
        <v>1909</v>
      </c>
      <c r="C97" s="27">
        <v>1.5</v>
      </c>
      <c r="D97" s="21" t="s">
        <v>450</v>
      </c>
    </row>
    <row r="98" spans="1:9" ht="18" x14ac:dyDescent="0.45">
      <c r="A98" s="3" t="s">
        <v>205</v>
      </c>
      <c r="B98" s="8">
        <v>1845</v>
      </c>
      <c r="C98" s="27">
        <v>1.5</v>
      </c>
      <c r="D98" s="21" t="s">
        <v>450</v>
      </c>
    </row>
    <row r="99" spans="1:9" ht="18" x14ac:dyDescent="0.45">
      <c r="A99" s="3" t="s">
        <v>206</v>
      </c>
      <c r="B99" s="8">
        <v>1664</v>
      </c>
      <c r="C99" s="27">
        <v>1.4</v>
      </c>
      <c r="D99" s="21" t="s">
        <v>450</v>
      </c>
    </row>
    <row r="100" spans="1:9" ht="18" x14ac:dyDescent="0.45">
      <c r="A100" s="3" t="s">
        <v>207</v>
      </c>
      <c r="B100" s="8">
        <v>1587</v>
      </c>
      <c r="C100" s="27">
        <v>1.3</v>
      </c>
      <c r="D100" s="21" t="s">
        <v>450</v>
      </c>
    </row>
    <row r="101" spans="1:9" ht="18" x14ac:dyDescent="0.45">
      <c r="A101" s="3" t="s">
        <v>208</v>
      </c>
      <c r="B101" s="8">
        <v>1462</v>
      </c>
      <c r="C101" s="27">
        <v>1.2</v>
      </c>
      <c r="D101" s="21" t="s">
        <v>450</v>
      </c>
    </row>
    <row r="102" spans="1:9" ht="18" x14ac:dyDescent="0.45">
      <c r="A102" s="3" t="s">
        <v>209</v>
      </c>
      <c r="B102" s="8">
        <v>1474</v>
      </c>
      <c r="C102" s="27">
        <v>1.2</v>
      </c>
      <c r="D102" s="21" t="s">
        <v>450</v>
      </c>
    </row>
    <row r="104" spans="1:9" ht="22.05" customHeight="1" x14ac:dyDescent="0.5">
      <c r="A104" s="14" t="s">
        <v>494</v>
      </c>
    </row>
    <row r="105" spans="1:9" ht="30" customHeight="1" x14ac:dyDescent="0.2">
      <c r="A105" s="4" t="s">
        <v>130</v>
      </c>
      <c r="B105" s="4" t="s">
        <v>456</v>
      </c>
      <c r="C105" s="4" t="s">
        <v>145</v>
      </c>
      <c r="D105" s="4" t="s">
        <v>146</v>
      </c>
      <c r="E105" s="4" t="s">
        <v>52</v>
      </c>
    </row>
    <row r="106" spans="1:9" ht="18" x14ac:dyDescent="0.45">
      <c r="A106" s="3" t="s">
        <v>492</v>
      </c>
      <c r="B106" s="8">
        <v>1474</v>
      </c>
      <c r="C106" s="8">
        <v>866</v>
      </c>
      <c r="D106" s="8">
        <v>608</v>
      </c>
      <c r="E106" s="21" t="s">
        <v>495</v>
      </c>
    </row>
    <row r="108" spans="1:9" ht="22.05" customHeight="1" x14ac:dyDescent="0.5">
      <c r="A108" s="14" t="s">
        <v>224</v>
      </c>
    </row>
    <row r="109" spans="1:9" ht="48" customHeight="1" x14ac:dyDescent="0.2">
      <c r="A109" s="40" t="s">
        <v>496</v>
      </c>
      <c r="B109" s="39"/>
      <c r="C109" s="39"/>
      <c r="D109" s="39"/>
      <c r="E109" s="39"/>
      <c r="F109" s="39"/>
      <c r="G109" s="39"/>
      <c r="H109" s="39"/>
      <c r="I109" s="39"/>
    </row>
    <row r="110" spans="1:9" ht="31.95" customHeight="1" x14ac:dyDescent="0.2">
      <c r="A110" s="40" t="s">
        <v>497</v>
      </c>
      <c r="B110" s="39"/>
      <c r="C110" s="39"/>
      <c r="D110" s="39"/>
      <c r="E110" s="39"/>
      <c r="F110" s="39"/>
      <c r="G110" s="39"/>
      <c r="H110" s="39"/>
      <c r="I110" s="39"/>
    </row>
    <row r="111" spans="1:9" ht="31.95" customHeight="1" x14ac:dyDescent="0.2">
      <c r="A111" s="40" t="s">
        <v>498</v>
      </c>
      <c r="B111" s="39"/>
      <c r="C111" s="39"/>
      <c r="D111" s="39"/>
      <c r="E111" s="39"/>
      <c r="F111" s="39"/>
      <c r="G111" s="39"/>
      <c r="H111" s="39"/>
      <c r="I111" s="39"/>
    </row>
    <row r="112" spans="1:9" ht="31.95" customHeight="1" x14ac:dyDescent="0.2">
      <c r="A112" s="40" t="s">
        <v>499</v>
      </c>
      <c r="B112" s="39"/>
      <c r="C112" s="39"/>
      <c r="D112" s="39"/>
      <c r="E112" s="39"/>
      <c r="F112" s="39"/>
      <c r="G112" s="39"/>
      <c r="H112" s="39"/>
      <c r="I112" s="39"/>
    </row>
    <row r="113" spans="1:9" ht="31.95" customHeight="1" x14ac:dyDescent="0.2">
      <c r="A113" s="40" t="s">
        <v>500</v>
      </c>
      <c r="B113" s="39"/>
      <c r="C113" s="39"/>
      <c r="D113" s="39"/>
      <c r="E113" s="39"/>
      <c r="F113" s="39"/>
      <c r="G113" s="39"/>
      <c r="H113" s="39"/>
      <c r="I113" s="39"/>
    </row>
    <row r="115" spans="1:9" ht="22.05" customHeight="1" x14ac:dyDescent="0.5">
      <c r="A115" s="14" t="s">
        <v>230</v>
      </c>
    </row>
    <row r="116" spans="1:9" ht="48" customHeight="1" x14ac:dyDescent="0.2">
      <c r="A116" s="40" t="s">
        <v>501</v>
      </c>
      <c r="B116" s="39"/>
      <c r="C116" s="39"/>
      <c r="D116" s="39"/>
      <c r="E116" s="39"/>
      <c r="F116" s="39"/>
      <c r="G116" s="39"/>
      <c r="H116" s="39"/>
      <c r="I116" s="39"/>
    </row>
    <row r="117" spans="1:9" ht="31.95" customHeight="1" x14ac:dyDescent="0.2">
      <c r="A117" s="40" t="s">
        <v>502</v>
      </c>
      <c r="B117" s="39"/>
      <c r="C117" s="39"/>
      <c r="D117" s="39"/>
      <c r="E117" s="39"/>
      <c r="F117" s="39"/>
      <c r="G117" s="39"/>
      <c r="H117" s="39"/>
      <c r="I117" s="39"/>
    </row>
    <row r="118" spans="1:9" ht="64.05" customHeight="1" x14ac:dyDescent="0.2">
      <c r="A118" s="40" t="s">
        <v>503</v>
      </c>
      <c r="B118" s="39"/>
      <c r="C118" s="39"/>
      <c r="D118" s="39"/>
      <c r="E118" s="39"/>
      <c r="F118" s="39"/>
      <c r="G118" s="39"/>
      <c r="H118" s="39"/>
      <c r="I118" s="39"/>
    </row>
    <row r="119" spans="1:9" ht="31.95" customHeight="1" x14ac:dyDescent="0.2">
      <c r="A119" s="40" t="s">
        <v>504</v>
      </c>
      <c r="B119" s="39"/>
      <c r="C119" s="39"/>
      <c r="D119" s="39"/>
      <c r="E119" s="39"/>
      <c r="F119" s="39"/>
      <c r="G119" s="39"/>
      <c r="H119" s="39"/>
      <c r="I119" s="39"/>
    </row>
    <row r="121" spans="1:9" ht="22.05" customHeight="1" x14ac:dyDescent="0.5">
      <c r="A121" s="14" t="s">
        <v>235</v>
      </c>
    </row>
    <row r="122" spans="1:9" ht="31.95" customHeight="1" x14ac:dyDescent="0.2">
      <c r="A122" s="40" t="s">
        <v>109</v>
      </c>
      <c r="B122" s="39"/>
      <c r="C122" s="39"/>
      <c r="D122" s="39"/>
      <c r="E122" s="39"/>
      <c r="F122" s="39"/>
      <c r="G122" s="39"/>
      <c r="H122" s="39"/>
      <c r="I122" s="39"/>
    </row>
    <row r="123" spans="1:9" ht="31.95" customHeight="1" x14ac:dyDescent="0.2">
      <c r="A123" s="40" t="s">
        <v>110</v>
      </c>
      <c r="B123" s="39"/>
      <c r="C123" s="39"/>
      <c r="D123" s="39"/>
      <c r="E123" s="39"/>
      <c r="F123" s="39"/>
      <c r="G123" s="39"/>
      <c r="H123" s="39"/>
      <c r="I123" s="39"/>
    </row>
    <row r="124" spans="1:9" ht="48" customHeight="1" x14ac:dyDescent="0.2">
      <c r="A124" s="40" t="s">
        <v>111</v>
      </c>
      <c r="B124" s="39"/>
      <c r="C124" s="39"/>
      <c r="D124" s="39"/>
      <c r="E124" s="39"/>
      <c r="F124" s="39"/>
      <c r="G124" s="39"/>
      <c r="H124" s="39"/>
      <c r="I124" s="39"/>
    </row>
    <row r="125" spans="1:9" ht="18" customHeight="1" x14ac:dyDescent="0.2">
      <c r="A125" s="40" t="s">
        <v>112</v>
      </c>
      <c r="B125" s="39"/>
      <c r="C125" s="39"/>
      <c r="D125" s="39"/>
      <c r="E125" s="39"/>
      <c r="F125" s="39"/>
      <c r="G125" s="39"/>
      <c r="H125" s="39"/>
      <c r="I125" s="39"/>
    </row>
    <row r="126" spans="1:9" ht="31.95" customHeight="1" x14ac:dyDescent="0.2">
      <c r="A126" s="40" t="s">
        <v>113</v>
      </c>
      <c r="B126" s="39"/>
      <c r="C126" s="39"/>
      <c r="D126" s="39"/>
      <c r="E126" s="39"/>
      <c r="F126" s="39"/>
      <c r="G126" s="39"/>
      <c r="H126" s="39"/>
      <c r="I126" s="39"/>
    </row>
    <row r="127" spans="1:9" ht="31.95" customHeight="1" x14ac:dyDescent="0.2">
      <c r="A127" s="40" t="s">
        <v>114</v>
      </c>
      <c r="B127" s="39"/>
      <c r="C127" s="39"/>
      <c r="D127" s="39"/>
      <c r="E127" s="39"/>
      <c r="F127" s="39"/>
      <c r="G127" s="39"/>
      <c r="H127" s="39"/>
      <c r="I127" s="39"/>
    </row>
    <row r="128" spans="1:9" ht="31.95" customHeight="1" x14ac:dyDescent="0.2">
      <c r="A128" s="40" t="s">
        <v>115</v>
      </c>
      <c r="B128" s="39"/>
      <c r="C128" s="39"/>
      <c r="D128" s="39"/>
      <c r="E128" s="39"/>
      <c r="F128" s="39"/>
      <c r="G128" s="39"/>
      <c r="H128" s="39"/>
      <c r="I128" s="39"/>
    </row>
    <row r="129" spans="1:9" ht="48" customHeight="1" x14ac:dyDescent="0.2">
      <c r="A129" s="40" t="s">
        <v>116</v>
      </c>
      <c r="B129" s="39"/>
      <c r="C129" s="39"/>
      <c r="D129" s="39"/>
      <c r="E129" s="39"/>
      <c r="F129" s="39"/>
      <c r="G129" s="39"/>
      <c r="H129" s="39"/>
      <c r="I129" s="39"/>
    </row>
    <row r="130" spans="1:9" ht="18" customHeight="1" x14ac:dyDescent="0.2">
      <c r="A130" s="38" t="s">
        <v>236</v>
      </c>
      <c r="B130" s="39"/>
      <c r="C130" s="39"/>
      <c r="D130" s="39"/>
      <c r="E130" s="39"/>
      <c r="F130" s="39"/>
      <c r="G130" s="39"/>
      <c r="H130" s="39"/>
      <c r="I130" s="39"/>
    </row>
    <row r="132" spans="1:9" ht="22.05" customHeight="1" x14ac:dyDescent="0.5">
      <c r="A132" s="14" t="s">
        <v>237</v>
      </c>
    </row>
    <row r="133" spans="1:9" ht="18" customHeight="1" x14ac:dyDescent="0.2">
      <c r="A133" s="40" t="s">
        <v>505</v>
      </c>
      <c r="B133" s="39"/>
      <c r="C133" s="39"/>
      <c r="D133" s="39"/>
      <c r="E133" s="39"/>
      <c r="F133" s="39"/>
      <c r="G133" s="39"/>
      <c r="H133" s="39"/>
      <c r="I133" s="39"/>
    </row>
    <row r="134" spans="1:9" ht="31.95" customHeight="1" x14ac:dyDescent="0.2">
      <c r="A134" s="40" t="s">
        <v>506</v>
      </c>
      <c r="B134" s="39"/>
      <c r="C134" s="39"/>
      <c r="D134" s="39"/>
      <c r="E134" s="39"/>
      <c r="F134" s="39"/>
      <c r="G134" s="39"/>
      <c r="H134" s="39"/>
      <c r="I134" s="39"/>
    </row>
    <row r="135" spans="1:9" ht="18" customHeight="1" x14ac:dyDescent="0.2">
      <c r="A135" s="40" t="s">
        <v>507</v>
      </c>
      <c r="B135" s="39"/>
      <c r="C135" s="39"/>
      <c r="D135" s="39"/>
      <c r="E135" s="39"/>
      <c r="F135" s="39"/>
      <c r="G135" s="39"/>
      <c r="H135" s="39"/>
      <c r="I135" s="39"/>
    </row>
    <row r="136" spans="1:9" ht="18" customHeight="1" x14ac:dyDescent="0.2">
      <c r="A136" s="40" t="s">
        <v>508</v>
      </c>
      <c r="B136" s="39"/>
      <c r="C136" s="39"/>
      <c r="D136" s="39"/>
      <c r="E136" s="39"/>
      <c r="F136" s="39"/>
      <c r="G136" s="39"/>
      <c r="H136" s="39"/>
      <c r="I136" s="39"/>
    </row>
    <row r="137" spans="1:9" ht="18" customHeight="1" x14ac:dyDescent="0.2">
      <c r="A137" s="40" t="s">
        <v>509</v>
      </c>
      <c r="B137" s="39"/>
      <c r="C137" s="39"/>
      <c r="D137" s="39"/>
      <c r="E137" s="39"/>
      <c r="F137" s="39"/>
      <c r="G137" s="39"/>
      <c r="H137" s="39"/>
      <c r="I137" s="39"/>
    </row>
  </sheetData>
  <mergeCells count="27">
    <mergeCell ref="A16:I16"/>
    <mergeCell ref="A21:I21"/>
    <mergeCell ref="A113:I113"/>
    <mergeCell ref="A2:I2"/>
    <mergeCell ref="A129:I129"/>
    <mergeCell ref="A116:I116"/>
    <mergeCell ref="A126:I126"/>
    <mergeCell ref="A122:I122"/>
    <mergeCell ref="A22:I22"/>
    <mergeCell ref="A109:I109"/>
    <mergeCell ref="A125:I125"/>
    <mergeCell ref="A112:I112"/>
    <mergeCell ref="A117:I117"/>
    <mergeCell ref="A111:I111"/>
    <mergeCell ref="A127:I127"/>
    <mergeCell ref="A123:I123"/>
    <mergeCell ref="A110:I110"/>
    <mergeCell ref="A128:I128"/>
    <mergeCell ref="A137:I137"/>
    <mergeCell ref="A133:I133"/>
    <mergeCell ref="A118:I118"/>
    <mergeCell ref="A136:I136"/>
    <mergeCell ref="A135:I135"/>
    <mergeCell ref="A134:I134"/>
    <mergeCell ref="A130:I130"/>
    <mergeCell ref="A124:I124"/>
    <mergeCell ref="A119:I119"/>
  </mergeCells>
  <phoneticPr fontId="8"/>
  <pageMargins left="0.75" right="0.75" top="1" bottom="1" header="0.5" footer="0.5"/>
  <pageSetup fitToHeight="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51"/>
  <sheetViews>
    <sheetView showGridLines="0" workbookViewId="0"/>
  </sheetViews>
  <sheetFormatPr defaultRowHeight="13.2" x14ac:dyDescent="0.2"/>
  <cols>
    <col min="1" max="1" width="16" customWidth="1"/>
    <col min="2" max="2" width="110" customWidth="1"/>
  </cols>
  <sheetData>
    <row r="1" spans="1:2" ht="24.6" x14ac:dyDescent="0.6">
      <c r="A1" s="1" t="s">
        <v>510</v>
      </c>
    </row>
    <row r="3" spans="1:2" ht="19.8" x14ac:dyDescent="0.5">
      <c r="A3" s="14" t="s">
        <v>511</v>
      </c>
    </row>
    <row r="4" spans="1:2" ht="31.95" customHeight="1" x14ac:dyDescent="0.2">
      <c r="A4" s="36">
        <v>1</v>
      </c>
      <c r="B4" s="18" t="s">
        <v>512</v>
      </c>
    </row>
    <row r="5" spans="1:2" ht="31.95" customHeight="1" x14ac:dyDescent="0.2">
      <c r="A5" s="36">
        <v>2</v>
      </c>
      <c r="B5" s="18" t="s">
        <v>513</v>
      </c>
    </row>
    <row r="6" spans="1:2" ht="18" customHeight="1" x14ac:dyDescent="0.2">
      <c r="A6" s="36">
        <v>3</v>
      </c>
      <c r="B6" s="18" t="s">
        <v>514</v>
      </c>
    </row>
    <row r="7" spans="1:2" ht="31.95" customHeight="1" x14ac:dyDescent="0.2">
      <c r="A7" s="36">
        <v>4</v>
      </c>
      <c r="B7" s="18" t="s">
        <v>515</v>
      </c>
    </row>
    <row r="8" spans="1:2" ht="48" customHeight="1" x14ac:dyDescent="0.2">
      <c r="A8" s="36">
        <v>5</v>
      </c>
      <c r="B8" s="18" t="s">
        <v>516</v>
      </c>
    </row>
    <row r="9" spans="1:2" ht="18" customHeight="1" x14ac:dyDescent="0.2">
      <c r="A9" s="36">
        <v>6</v>
      </c>
      <c r="B9" s="18" t="s">
        <v>517</v>
      </c>
    </row>
    <row r="11" spans="1:2" ht="19.8" x14ac:dyDescent="0.5">
      <c r="A11" s="14" t="s">
        <v>35</v>
      </c>
    </row>
    <row r="12" spans="1:2" ht="18" customHeight="1" x14ac:dyDescent="0.2">
      <c r="A12" s="36">
        <v>1</v>
      </c>
      <c r="B12" s="18" t="s">
        <v>518</v>
      </c>
    </row>
    <row r="13" spans="1:2" ht="18" customHeight="1" x14ac:dyDescent="0.2">
      <c r="A13" s="36">
        <v>2</v>
      </c>
      <c r="B13" s="18" t="s">
        <v>519</v>
      </c>
    </row>
    <row r="14" spans="1:2" ht="18" customHeight="1" x14ac:dyDescent="0.2">
      <c r="A14" s="36">
        <v>3</v>
      </c>
      <c r="B14" s="18" t="s">
        <v>520</v>
      </c>
    </row>
    <row r="15" spans="1:2" ht="18" customHeight="1" x14ac:dyDescent="0.2">
      <c r="A15" s="36">
        <v>4</v>
      </c>
      <c r="B15" s="18" t="s">
        <v>521</v>
      </c>
    </row>
    <row r="16" spans="1:2" ht="31.95" customHeight="1" x14ac:dyDescent="0.2">
      <c r="A16" s="36">
        <v>5</v>
      </c>
      <c r="B16" s="18" t="s">
        <v>522</v>
      </c>
    </row>
    <row r="17" spans="1:2" ht="18" customHeight="1" x14ac:dyDescent="0.2">
      <c r="A17" s="36">
        <v>6</v>
      </c>
      <c r="B17" s="18" t="s">
        <v>523</v>
      </c>
    </row>
    <row r="19" spans="1:2" ht="19.8" x14ac:dyDescent="0.5">
      <c r="A19" s="14" t="s">
        <v>524</v>
      </c>
    </row>
    <row r="20" spans="1:2" ht="31.95" customHeight="1" x14ac:dyDescent="0.2">
      <c r="A20" s="36">
        <v>1</v>
      </c>
      <c r="B20" s="18" t="s">
        <v>525</v>
      </c>
    </row>
    <row r="21" spans="1:2" ht="31.95" customHeight="1" x14ac:dyDescent="0.2">
      <c r="A21" s="36">
        <v>2</v>
      </c>
      <c r="B21" s="18" t="s">
        <v>526</v>
      </c>
    </row>
    <row r="22" spans="1:2" ht="18" customHeight="1" x14ac:dyDescent="0.2">
      <c r="A22" s="36">
        <v>3</v>
      </c>
      <c r="B22" s="18" t="s">
        <v>527</v>
      </c>
    </row>
    <row r="23" spans="1:2" ht="31.95" customHeight="1" x14ac:dyDescent="0.2">
      <c r="A23" s="36">
        <v>4</v>
      </c>
      <c r="B23" s="18" t="s">
        <v>528</v>
      </c>
    </row>
    <row r="24" spans="1:2" ht="18" customHeight="1" x14ac:dyDescent="0.2">
      <c r="A24" s="36">
        <v>5</v>
      </c>
      <c r="B24" s="18" t="s">
        <v>529</v>
      </c>
    </row>
    <row r="25" spans="1:2" ht="31.95" customHeight="1" x14ac:dyDescent="0.2">
      <c r="A25" s="36">
        <v>6</v>
      </c>
      <c r="B25" s="18" t="s">
        <v>530</v>
      </c>
    </row>
    <row r="27" spans="1:2" ht="19.8" x14ac:dyDescent="0.5">
      <c r="A27" s="14" t="s">
        <v>38</v>
      </c>
    </row>
    <row r="28" spans="1:2" ht="18" customHeight="1" x14ac:dyDescent="0.2">
      <c r="A28" s="36">
        <v>1</v>
      </c>
      <c r="B28" s="18" t="s">
        <v>531</v>
      </c>
    </row>
    <row r="29" spans="1:2" ht="18" customHeight="1" x14ac:dyDescent="0.2">
      <c r="A29" s="36">
        <v>2</v>
      </c>
      <c r="B29" s="18" t="s">
        <v>532</v>
      </c>
    </row>
    <row r="30" spans="1:2" ht="18" customHeight="1" x14ac:dyDescent="0.2">
      <c r="A30" s="36">
        <v>3</v>
      </c>
      <c r="B30" s="18" t="s">
        <v>533</v>
      </c>
    </row>
    <row r="31" spans="1:2" ht="18" customHeight="1" x14ac:dyDescent="0.2">
      <c r="A31" s="36">
        <v>4</v>
      </c>
      <c r="B31" s="18" t="s">
        <v>534</v>
      </c>
    </row>
    <row r="33" spans="1:2" ht="19.8" x14ac:dyDescent="0.5">
      <c r="A33" s="14" t="s">
        <v>535</v>
      </c>
    </row>
    <row r="34" spans="1:2" ht="18" customHeight="1" x14ac:dyDescent="0.2">
      <c r="A34" s="36">
        <v>1</v>
      </c>
      <c r="B34" s="18" t="s">
        <v>536</v>
      </c>
    </row>
    <row r="35" spans="1:2" ht="18" customHeight="1" x14ac:dyDescent="0.2">
      <c r="A35" s="36">
        <v>2</v>
      </c>
      <c r="B35" s="18" t="s">
        <v>537</v>
      </c>
    </row>
    <row r="36" spans="1:2" ht="18" customHeight="1" x14ac:dyDescent="0.2">
      <c r="A36" s="36">
        <v>3</v>
      </c>
      <c r="B36" s="18" t="s">
        <v>538</v>
      </c>
    </row>
    <row r="37" spans="1:2" ht="18" customHeight="1" x14ac:dyDescent="0.2">
      <c r="A37" s="36">
        <v>4</v>
      </c>
      <c r="B37" s="18" t="s">
        <v>539</v>
      </c>
    </row>
    <row r="39" spans="1:2" ht="19.8" x14ac:dyDescent="0.5">
      <c r="A39" s="14" t="s">
        <v>41</v>
      </c>
    </row>
    <row r="40" spans="1:2" ht="18" customHeight="1" x14ac:dyDescent="0.2">
      <c r="A40" s="36">
        <v>1</v>
      </c>
      <c r="B40" s="18" t="s">
        <v>540</v>
      </c>
    </row>
    <row r="41" spans="1:2" ht="31.95" customHeight="1" x14ac:dyDescent="0.2">
      <c r="A41" s="36">
        <v>2</v>
      </c>
      <c r="B41" s="18" t="s">
        <v>541</v>
      </c>
    </row>
    <row r="42" spans="1:2" ht="18" customHeight="1" x14ac:dyDescent="0.2">
      <c r="A42" s="36">
        <v>3</v>
      </c>
      <c r="B42" s="18" t="s">
        <v>542</v>
      </c>
    </row>
    <row r="43" spans="1:2" ht="18" customHeight="1" x14ac:dyDescent="0.2">
      <c r="A43" s="36">
        <v>4</v>
      </c>
      <c r="B43" s="18" t="s">
        <v>543</v>
      </c>
    </row>
    <row r="44" spans="1:2" ht="18" customHeight="1" x14ac:dyDescent="0.2">
      <c r="A44" s="36">
        <v>5</v>
      </c>
      <c r="B44" s="18" t="s">
        <v>544</v>
      </c>
    </row>
    <row r="46" spans="1:2" ht="19.8" x14ac:dyDescent="0.5">
      <c r="A46" s="14" t="s">
        <v>235</v>
      </c>
    </row>
    <row r="47" spans="1:2" ht="18" customHeight="1" x14ac:dyDescent="0.2">
      <c r="A47" s="36">
        <v>1</v>
      </c>
      <c r="B47" s="18" t="s">
        <v>545</v>
      </c>
    </row>
    <row r="48" spans="1:2" ht="31.95" customHeight="1" x14ac:dyDescent="0.2">
      <c r="A48" s="36">
        <v>2</v>
      </c>
      <c r="B48" s="18" t="s">
        <v>546</v>
      </c>
    </row>
    <row r="49" spans="1:2" ht="31.95" customHeight="1" x14ac:dyDescent="0.2">
      <c r="A49" s="36">
        <v>3</v>
      </c>
      <c r="B49" s="18" t="s">
        <v>547</v>
      </c>
    </row>
    <row r="50" spans="1:2" ht="18" customHeight="1" x14ac:dyDescent="0.2">
      <c r="A50" s="36">
        <v>4</v>
      </c>
      <c r="B50" s="18" t="s">
        <v>548</v>
      </c>
    </row>
    <row r="51" spans="1:2" ht="18" customHeight="1" x14ac:dyDescent="0.2">
      <c r="A51" s="36">
        <v>5</v>
      </c>
      <c r="B51" s="18" t="s">
        <v>549</v>
      </c>
    </row>
  </sheetData>
  <phoneticPr fontId="8"/>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83"/>
  <sheetViews>
    <sheetView showGridLines="0" workbookViewId="0">
      <pane ySplit="4" topLeftCell="A5" activePane="bottomLeft" state="frozen"/>
      <selection pane="bottomLeft"/>
    </sheetView>
  </sheetViews>
  <sheetFormatPr defaultRowHeight="13.2" x14ac:dyDescent="0.2"/>
  <cols>
    <col min="1" max="1" width="10" customWidth="1"/>
    <col min="2" max="2" width="11" customWidth="1"/>
    <col min="3" max="3" width="60" customWidth="1"/>
    <col min="4" max="4" width="30" customWidth="1"/>
    <col min="5" max="5" width="55" customWidth="1"/>
    <col min="6" max="6" width="22" customWidth="1"/>
    <col min="7" max="7" width="12" customWidth="1"/>
  </cols>
  <sheetData>
    <row r="1" spans="1:7" ht="24.6" x14ac:dyDescent="0.6">
      <c r="A1" s="1" t="s">
        <v>550</v>
      </c>
    </row>
    <row r="2" spans="1:7" ht="18" customHeight="1" x14ac:dyDescent="0.2">
      <c r="A2" s="38" t="s">
        <v>551</v>
      </c>
      <c r="B2" s="39"/>
      <c r="C2" s="39"/>
      <c r="D2" s="39"/>
      <c r="E2" s="39"/>
      <c r="F2" s="39"/>
      <c r="G2" s="39"/>
    </row>
    <row r="4" spans="1:7" ht="30" customHeight="1" x14ac:dyDescent="0.2">
      <c r="A4" s="4" t="s">
        <v>52</v>
      </c>
      <c r="B4" s="4" t="s">
        <v>21</v>
      </c>
      <c r="C4" s="4" t="s">
        <v>552</v>
      </c>
      <c r="D4" s="4" t="s">
        <v>553</v>
      </c>
      <c r="E4" s="4" t="s">
        <v>554</v>
      </c>
      <c r="F4" s="4" t="s">
        <v>555</v>
      </c>
      <c r="G4" s="4" t="s">
        <v>556</v>
      </c>
    </row>
    <row r="5" spans="1:7" ht="30" customHeight="1" x14ac:dyDescent="0.45">
      <c r="A5" s="21" t="s">
        <v>557</v>
      </c>
      <c r="B5" s="21" t="s">
        <v>35</v>
      </c>
      <c r="C5" s="3" t="s">
        <v>558</v>
      </c>
      <c r="D5" s="3" t="s">
        <v>559</v>
      </c>
      <c r="E5" s="37" t="s">
        <v>560</v>
      </c>
      <c r="F5" s="3" t="s">
        <v>561</v>
      </c>
      <c r="G5" s="21" t="s">
        <v>562</v>
      </c>
    </row>
    <row r="6" spans="1:7" ht="30" customHeight="1" x14ac:dyDescent="0.45">
      <c r="A6" s="21" t="s">
        <v>180</v>
      </c>
      <c r="B6" s="21" t="s">
        <v>35</v>
      </c>
      <c r="C6" s="3" t="s">
        <v>563</v>
      </c>
      <c r="D6" s="3" t="s">
        <v>559</v>
      </c>
      <c r="E6" s="37" t="s">
        <v>564</v>
      </c>
      <c r="F6" s="3" t="s">
        <v>561</v>
      </c>
      <c r="G6" s="21" t="s">
        <v>562</v>
      </c>
    </row>
    <row r="7" spans="1:7" ht="30" customHeight="1" x14ac:dyDescent="0.45">
      <c r="A7" s="21" t="s">
        <v>147</v>
      </c>
      <c r="B7" s="21" t="s">
        <v>35</v>
      </c>
      <c r="C7" s="3" t="s">
        <v>565</v>
      </c>
      <c r="D7" s="3" t="s">
        <v>559</v>
      </c>
      <c r="E7" s="37" t="s">
        <v>566</v>
      </c>
      <c r="F7" s="3" t="s">
        <v>561</v>
      </c>
      <c r="G7" s="21" t="s">
        <v>562</v>
      </c>
    </row>
    <row r="8" spans="1:7" ht="30" customHeight="1" x14ac:dyDescent="0.45">
      <c r="A8" s="21" t="s">
        <v>132</v>
      </c>
      <c r="B8" s="21" t="s">
        <v>35</v>
      </c>
      <c r="C8" s="3" t="s">
        <v>567</v>
      </c>
      <c r="D8" s="3" t="s">
        <v>559</v>
      </c>
      <c r="E8" s="37" t="s">
        <v>568</v>
      </c>
      <c r="F8" s="3" t="s">
        <v>561</v>
      </c>
      <c r="G8" s="21" t="s">
        <v>562</v>
      </c>
    </row>
    <row r="9" spans="1:7" ht="30" customHeight="1" x14ac:dyDescent="0.45">
      <c r="A9" s="21" t="s">
        <v>151</v>
      </c>
      <c r="B9" s="21" t="s">
        <v>35</v>
      </c>
      <c r="C9" s="3" t="s">
        <v>569</v>
      </c>
      <c r="D9" s="3" t="s">
        <v>559</v>
      </c>
      <c r="E9" s="37" t="s">
        <v>570</v>
      </c>
      <c r="F9" s="3" t="s">
        <v>561</v>
      </c>
      <c r="G9" s="21" t="s">
        <v>562</v>
      </c>
    </row>
    <row r="10" spans="1:7" ht="30" customHeight="1" x14ac:dyDescent="0.45">
      <c r="A10" s="21" t="s">
        <v>171</v>
      </c>
      <c r="B10" s="21" t="s">
        <v>35</v>
      </c>
      <c r="C10" s="3" t="s">
        <v>571</v>
      </c>
      <c r="D10" s="3" t="s">
        <v>559</v>
      </c>
      <c r="E10" s="37" t="s">
        <v>572</v>
      </c>
      <c r="F10" s="3" t="s">
        <v>561</v>
      </c>
      <c r="G10" s="21" t="s">
        <v>562</v>
      </c>
    </row>
    <row r="11" spans="1:7" ht="30" customHeight="1" x14ac:dyDescent="0.45">
      <c r="A11" s="21" t="s">
        <v>573</v>
      </c>
      <c r="B11" s="21" t="s">
        <v>35</v>
      </c>
      <c r="C11" s="3" t="s">
        <v>574</v>
      </c>
      <c r="D11" s="3" t="s">
        <v>559</v>
      </c>
      <c r="E11" s="37" t="s">
        <v>575</v>
      </c>
      <c r="F11" s="3" t="s">
        <v>561</v>
      </c>
      <c r="G11" s="21" t="s">
        <v>562</v>
      </c>
    </row>
    <row r="12" spans="1:7" ht="30" customHeight="1" x14ac:dyDescent="0.45">
      <c r="A12" s="21" t="s">
        <v>576</v>
      </c>
      <c r="B12" s="21" t="s">
        <v>35</v>
      </c>
      <c r="C12" s="3" t="s">
        <v>577</v>
      </c>
      <c r="D12" s="3" t="s">
        <v>559</v>
      </c>
      <c r="E12" s="37" t="s">
        <v>578</v>
      </c>
      <c r="F12" s="3" t="s">
        <v>561</v>
      </c>
      <c r="G12" s="21" t="s">
        <v>562</v>
      </c>
    </row>
    <row r="13" spans="1:7" ht="30" customHeight="1" x14ac:dyDescent="0.45">
      <c r="A13" s="21" t="s">
        <v>579</v>
      </c>
      <c r="B13" s="21" t="s">
        <v>35</v>
      </c>
      <c r="C13" s="3" t="s">
        <v>580</v>
      </c>
      <c r="D13" s="3" t="s">
        <v>559</v>
      </c>
      <c r="E13" s="37" t="s">
        <v>581</v>
      </c>
      <c r="F13" s="3" t="s">
        <v>561</v>
      </c>
      <c r="G13" s="21" t="s">
        <v>562</v>
      </c>
    </row>
    <row r="14" spans="1:7" ht="30" customHeight="1" x14ac:dyDescent="0.45">
      <c r="A14" s="21" t="s">
        <v>141</v>
      </c>
      <c r="B14" s="21" t="s">
        <v>35</v>
      </c>
      <c r="C14" s="3" t="s">
        <v>582</v>
      </c>
      <c r="D14" s="3" t="s">
        <v>559</v>
      </c>
      <c r="E14" s="37" t="s">
        <v>583</v>
      </c>
      <c r="F14" s="3" t="s">
        <v>561</v>
      </c>
      <c r="G14" s="21" t="s">
        <v>562</v>
      </c>
    </row>
    <row r="15" spans="1:7" ht="30" customHeight="1" x14ac:dyDescent="0.45">
      <c r="A15" s="21" t="s">
        <v>584</v>
      </c>
      <c r="B15" s="21" t="s">
        <v>35</v>
      </c>
      <c r="C15" s="3" t="s">
        <v>585</v>
      </c>
      <c r="D15" s="3" t="s">
        <v>559</v>
      </c>
      <c r="E15" s="37" t="s">
        <v>586</v>
      </c>
      <c r="F15" s="3" t="s">
        <v>561</v>
      </c>
      <c r="G15" s="21" t="s">
        <v>562</v>
      </c>
    </row>
    <row r="16" spans="1:7" ht="30" customHeight="1" x14ac:dyDescent="0.45">
      <c r="A16" s="21" t="s">
        <v>587</v>
      </c>
      <c r="B16" s="21" t="s">
        <v>35</v>
      </c>
      <c r="C16" s="3" t="s">
        <v>588</v>
      </c>
      <c r="D16" s="3" t="s">
        <v>559</v>
      </c>
      <c r="E16" s="37" t="s">
        <v>589</v>
      </c>
      <c r="F16" s="3" t="s">
        <v>590</v>
      </c>
      <c r="G16" s="21" t="s">
        <v>562</v>
      </c>
    </row>
    <row r="17" spans="1:7" ht="30" customHeight="1" x14ac:dyDescent="0.45">
      <c r="A17" s="21" t="s">
        <v>591</v>
      </c>
      <c r="B17" s="21" t="s">
        <v>35</v>
      </c>
      <c r="C17" s="3" t="s">
        <v>592</v>
      </c>
      <c r="D17" s="3" t="s">
        <v>559</v>
      </c>
      <c r="E17" s="37" t="s">
        <v>593</v>
      </c>
      <c r="F17" s="3" t="s">
        <v>594</v>
      </c>
      <c r="G17" s="21" t="s">
        <v>562</v>
      </c>
    </row>
    <row r="18" spans="1:7" ht="45" customHeight="1" x14ac:dyDescent="0.45">
      <c r="A18" s="21" t="s">
        <v>56</v>
      </c>
      <c r="B18" s="21" t="s">
        <v>35</v>
      </c>
      <c r="C18" s="3" t="s">
        <v>595</v>
      </c>
      <c r="D18" s="3" t="s">
        <v>596</v>
      </c>
      <c r="E18" s="37" t="s">
        <v>597</v>
      </c>
      <c r="F18" s="3" t="s">
        <v>598</v>
      </c>
      <c r="G18" s="21" t="s">
        <v>562</v>
      </c>
    </row>
    <row r="19" spans="1:7" ht="30" customHeight="1" x14ac:dyDescent="0.45">
      <c r="A19" s="21" t="s">
        <v>599</v>
      </c>
      <c r="B19" s="21" t="s">
        <v>35</v>
      </c>
      <c r="C19" s="3" t="s">
        <v>600</v>
      </c>
      <c r="D19" s="3" t="s">
        <v>596</v>
      </c>
      <c r="E19" s="37" t="s">
        <v>601</v>
      </c>
      <c r="F19" s="3" t="s">
        <v>598</v>
      </c>
      <c r="G19" s="21" t="s">
        <v>562</v>
      </c>
    </row>
    <row r="20" spans="1:7" ht="30" customHeight="1" x14ac:dyDescent="0.45">
      <c r="A20" s="21" t="s">
        <v>602</v>
      </c>
      <c r="B20" s="21" t="s">
        <v>35</v>
      </c>
      <c r="C20" s="3" t="s">
        <v>603</v>
      </c>
      <c r="D20" s="3" t="s">
        <v>604</v>
      </c>
      <c r="E20" s="37" t="s">
        <v>605</v>
      </c>
      <c r="F20" s="3" t="s">
        <v>606</v>
      </c>
      <c r="G20" s="21" t="s">
        <v>562</v>
      </c>
    </row>
    <row r="21" spans="1:7" ht="30" customHeight="1" x14ac:dyDescent="0.45">
      <c r="A21" s="21" t="s">
        <v>607</v>
      </c>
      <c r="B21" s="21" t="s">
        <v>35</v>
      </c>
      <c r="C21" s="3" t="s">
        <v>608</v>
      </c>
      <c r="D21" s="3" t="s">
        <v>609</v>
      </c>
      <c r="E21" s="37" t="s">
        <v>610</v>
      </c>
      <c r="F21" s="3" t="s">
        <v>598</v>
      </c>
      <c r="G21" s="21" t="s">
        <v>562</v>
      </c>
    </row>
    <row r="22" spans="1:7" ht="30" customHeight="1" x14ac:dyDescent="0.45">
      <c r="A22" s="21" t="s">
        <v>611</v>
      </c>
      <c r="B22" s="21" t="s">
        <v>35</v>
      </c>
      <c r="C22" s="3" t="s">
        <v>612</v>
      </c>
      <c r="D22" s="3" t="s">
        <v>559</v>
      </c>
      <c r="E22" s="37" t="s">
        <v>613</v>
      </c>
      <c r="F22" s="3" t="s">
        <v>561</v>
      </c>
      <c r="G22" s="21" t="s">
        <v>562</v>
      </c>
    </row>
    <row r="23" spans="1:7" ht="45" customHeight="1" x14ac:dyDescent="0.45">
      <c r="A23" s="21" t="s">
        <v>323</v>
      </c>
      <c r="B23" s="21" t="s">
        <v>38</v>
      </c>
      <c r="C23" s="3" t="s">
        <v>614</v>
      </c>
      <c r="D23" s="3" t="s">
        <v>596</v>
      </c>
      <c r="E23" s="37" t="s">
        <v>615</v>
      </c>
      <c r="F23" s="3" t="s">
        <v>616</v>
      </c>
      <c r="G23" s="21" t="s">
        <v>562</v>
      </c>
    </row>
    <row r="24" spans="1:7" ht="30" customHeight="1" x14ac:dyDescent="0.45">
      <c r="A24" s="21" t="s">
        <v>343</v>
      </c>
      <c r="B24" s="21" t="s">
        <v>38</v>
      </c>
      <c r="C24" s="3" t="s">
        <v>617</v>
      </c>
      <c r="D24" s="3" t="s">
        <v>618</v>
      </c>
      <c r="E24" s="37" t="s">
        <v>619</v>
      </c>
      <c r="F24" s="3" t="s">
        <v>620</v>
      </c>
      <c r="G24" s="21" t="s">
        <v>562</v>
      </c>
    </row>
    <row r="25" spans="1:7" ht="30" customHeight="1" x14ac:dyDescent="0.45">
      <c r="A25" s="21" t="s">
        <v>329</v>
      </c>
      <c r="B25" s="21" t="s">
        <v>38</v>
      </c>
      <c r="C25" s="3" t="s">
        <v>621</v>
      </c>
      <c r="D25" s="3" t="s">
        <v>622</v>
      </c>
      <c r="E25" s="37" t="s">
        <v>623</v>
      </c>
      <c r="F25" s="3" t="s">
        <v>624</v>
      </c>
      <c r="G25" s="21" t="s">
        <v>562</v>
      </c>
    </row>
    <row r="26" spans="1:7" ht="30" customHeight="1" x14ac:dyDescent="0.45">
      <c r="A26" s="21" t="s">
        <v>350</v>
      </c>
      <c r="B26" s="21" t="s">
        <v>38</v>
      </c>
      <c r="C26" s="3" t="s">
        <v>625</v>
      </c>
      <c r="D26" s="3" t="s">
        <v>622</v>
      </c>
      <c r="E26" s="37" t="s">
        <v>626</v>
      </c>
      <c r="F26" s="3" t="s">
        <v>624</v>
      </c>
      <c r="G26" s="21" t="s">
        <v>562</v>
      </c>
    </row>
    <row r="27" spans="1:7" ht="30" customHeight="1" x14ac:dyDescent="0.45">
      <c r="A27" s="21" t="s">
        <v>326</v>
      </c>
      <c r="B27" s="21" t="s">
        <v>38</v>
      </c>
      <c r="C27" s="3" t="s">
        <v>627</v>
      </c>
      <c r="D27" s="3" t="s">
        <v>628</v>
      </c>
      <c r="E27" s="37" t="s">
        <v>629</v>
      </c>
      <c r="F27" s="3" t="s">
        <v>630</v>
      </c>
      <c r="G27" s="21" t="s">
        <v>562</v>
      </c>
    </row>
    <row r="28" spans="1:7" ht="30" customHeight="1" x14ac:dyDescent="0.45">
      <c r="A28" s="21" t="s">
        <v>631</v>
      </c>
      <c r="B28" s="21" t="s">
        <v>38</v>
      </c>
      <c r="C28" s="3" t="s">
        <v>632</v>
      </c>
      <c r="D28" s="3" t="s">
        <v>628</v>
      </c>
      <c r="E28" s="37" t="s">
        <v>633</v>
      </c>
      <c r="F28" s="3" t="s">
        <v>634</v>
      </c>
      <c r="G28" s="21" t="s">
        <v>562</v>
      </c>
    </row>
    <row r="29" spans="1:7" ht="30" customHeight="1" x14ac:dyDescent="0.45">
      <c r="A29" s="21" t="s">
        <v>635</v>
      </c>
      <c r="B29" s="21" t="s">
        <v>38</v>
      </c>
      <c r="C29" s="3" t="s">
        <v>636</v>
      </c>
      <c r="D29" s="3" t="s">
        <v>628</v>
      </c>
      <c r="E29" s="37" t="s">
        <v>637</v>
      </c>
      <c r="F29" s="3" t="s">
        <v>638</v>
      </c>
      <c r="G29" s="21" t="s">
        <v>562</v>
      </c>
    </row>
    <row r="30" spans="1:7" ht="45" customHeight="1" x14ac:dyDescent="0.45">
      <c r="A30" s="21" t="s">
        <v>324</v>
      </c>
      <c r="B30" s="21" t="s">
        <v>38</v>
      </c>
      <c r="C30" s="3" t="s">
        <v>639</v>
      </c>
      <c r="D30" s="3" t="s">
        <v>596</v>
      </c>
      <c r="E30" s="37" t="s">
        <v>640</v>
      </c>
      <c r="F30" s="3" t="s">
        <v>641</v>
      </c>
      <c r="G30" s="21" t="s">
        <v>562</v>
      </c>
    </row>
    <row r="31" spans="1:7" ht="45" customHeight="1" x14ac:dyDescent="0.45">
      <c r="A31" s="21" t="s">
        <v>362</v>
      </c>
      <c r="B31" s="21" t="s">
        <v>38</v>
      </c>
      <c r="C31" s="3" t="s">
        <v>642</v>
      </c>
      <c r="D31" s="3" t="s">
        <v>618</v>
      </c>
      <c r="E31" s="37" t="s">
        <v>643</v>
      </c>
      <c r="F31" s="3" t="s">
        <v>644</v>
      </c>
      <c r="G31" s="21" t="s">
        <v>562</v>
      </c>
    </row>
    <row r="32" spans="1:7" ht="30" customHeight="1" x14ac:dyDescent="0.45">
      <c r="A32" s="21" t="s">
        <v>645</v>
      </c>
      <c r="B32" s="21" t="s">
        <v>38</v>
      </c>
      <c r="C32" s="3" t="s">
        <v>646</v>
      </c>
      <c r="D32" s="3" t="s">
        <v>596</v>
      </c>
      <c r="E32" s="37" t="s">
        <v>647</v>
      </c>
      <c r="F32" s="3" t="s">
        <v>648</v>
      </c>
      <c r="G32" s="21" t="s">
        <v>562</v>
      </c>
    </row>
    <row r="33" spans="1:7" ht="30" customHeight="1" x14ac:dyDescent="0.45">
      <c r="A33" s="21" t="s">
        <v>65</v>
      </c>
      <c r="B33" s="21" t="s">
        <v>38</v>
      </c>
      <c r="C33" s="3" t="s">
        <v>649</v>
      </c>
      <c r="D33" s="3" t="s">
        <v>596</v>
      </c>
      <c r="E33" s="37" t="s">
        <v>650</v>
      </c>
      <c r="F33" s="3" t="s">
        <v>651</v>
      </c>
      <c r="G33" s="21" t="s">
        <v>562</v>
      </c>
    </row>
    <row r="34" spans="1:7" ht="30" customHeight="1" x14ac:dyDescent="0.45">
      <c r="A34" s="21" t="s">
        <v>652</v>
      </c>
      <c r="B34" s="21" t="s">
        <v>38</v>
      </c>
      <c r="C34" s="3" t="s">
        <v>653</v>
      </c>
      <c r="D34" s="3" t="s">
        <v>628</v>
      </c>
      <c r="E34" s="37" t="s">
        <v>654</v>
      </c>
      <c r="F34" s="3" t="s">
        <v>655</v>
      </c>
      <c r="G34" s="21" t="s">
        <v>562</v>
      </c>
    </row>
    <row r="35" spans="1:7" ht="30" customHeight="1" x14ac:dyDescent="0.45">
      <c r="A35" s="21" t="s">
        <v>382</v>
      </c>
      <c r="B35" s="21" t="s">
        <v>535</v>
      </c>
      <c r="C35" s="3" t="s">
        <v>656</v>
      </c>
      <c r="D35" s="3" t="s">
        <v>657</v>
      </c>
      <c r="E35" s="37" t="s">
        <v>626</v>
      </c>
      <c r="F35" s="3" t="s">
        <v>624</v>
      </c>
      <c r="G35" s="21" t="s">
        <v>562</v>
      </c>
    </row>
    <row r="36" spans="1:7" ht="45" customHeight="1" x14ac:dyDescent="0.45">
      <c r="A36" s="21" t="s">
        <v>386</v>
      </c>
      <c r="B36" s="21" t="s">
        <v>535</v>
      </c>
      <c r="C36" s="3" t="s">
        <v>658</v>
      </c>
      <c r="D36" s="3" t="s">
        <v>659</v>
      </c>
      <c r="E36" s="37" t="s">
        <v>623</v>
      </c>
      <c r="F36" s="3" t="s">
        <v>624</v>
      </c>
      <c r="G36" s="21" t="s">
        <v>562</v>
      </c>
    </row>
    <row r="37" spans="1:7" ht="30" customHeight="1" x14ac:dyDescent="0.45">
      <c r="A37" s="21" t="s">
        <v>399</v>
      </c>
      <c r="B37" s="21" t="s">
        <v>535</v>
      </c>
      <c r="C37" s="3" t="s">
        <v>660</v>
      </c>
      <c r="D37" s="3" t="s">
        <v>659</v>
      </c>
      <c r="E37" s="37" t="s">
        <v>661</v>
      </c>
      <c r="F37" s="3" t="s">
        <v>624</v>
      </c>
      <c r="G37" s="21" t="s">
        <v>562</v>
      </c>
    </row>
    <row r="38" spans="1:7" ht="45" customHeight="1" x14ac:dyDescent="0.45">
      <c r="A38" s="21" t="s">
        <v>392</v>
      </c>
      <c r="B38" s="21" t="s">
        <v>535</v>
      </c>
      <c r="C38" s="3" t="s">
        <v>662</v>
      </c>
      <c r="D38" s="3" t="s">
        <v>659</v>
      </c>
      <c r="E38" s="37" t="s">
        <v>663</v>
      </c>
      <c r="F38" s="3" t="s">
        <v>664</v>
      </c>
      <c r="G38" s="21" t="s">
        <v>562</v>
      </c>
    </row>
    <row r="39" spans="1:7" ht="30" customHeight="1" x14ac:dyDescent="0.45">
      <c r="A39" s="21" t="s">
        <v>403</v>
      </c>
      <c r="B39" s="21" t="s">
        <v>535</v>
      </c>
      <c r="C39" s="3" t="s">
        <v>665</v>
      </c>
      <c r="D39" s="3" t="s">
        <v>657</v>
      </c>
      <c r="E39" s="37" t="s">
        <v>666</v>
      </c>
      <c r="F39" s="3" t="s">
        <v>667</v>
      </c>
      <c r="G39" s="21" t="s">
        <v>562</v>
      </c>
    </row>
    <row r="40" spans="1:7" ht="30" customHeight="1" x14ac:dyDescent="0.45">
      <c r="A40" s="21" t="s">
        <v>419</v>
      </c>
      <c r="B40" s="21" t="s">
        <v>535</v>
      </c>
      <c r="C40" s="3" t="s">
        <v>668</v>
      </c>
      <c r="D40" s="3" t="s">
        <v>657</v>
      </c>
      <c r="E40" s="37" t="s">
        <v>669</v>
      </c>
      <c r="F40" s="3" t="s">
        <v>670</v>
      </c>
      <c r="G40" s="21" t="s">
        <v>562</v>
      </c>
    </row>
    <row r="41" spans="1:7" ht="30" customHeight="1" x14ac:dyDescent="0.45">
      <c r="A41" s="21" t="s">
        <v>383</v>
      </c>
      <c r="B41" s="21" t="s">
        <v>535</v>
      </c>
      <c r="C41" s="3" t="s">
        <v>671</v>
      </c>
      <c r="D41" s="3" t="s">
        <v>657</v>
      </c>
      <c r="E41" s="37" t="s">
        <v>672</v>
      </c>
      <c r="F41" s="3" t="s">
        <v>673</v>
      </c>
      <c r="G41" s="21" t="s">
        <v>562</v>
      </c>
    </row>
    <row r="42" spans="1:7" ht="30" customHeight="1" x14ac:dyDescent="0.45">
      <c r="A42" s="21" t="s">
        <v>674</v>
      </c>
      <c r="B42" s="21" t="s">
        <v>535</v>
      </c>
      <c r="C42" s="3" t="s">
        <v>675</v>
      </c>
      <c r="D42" s="3" t="s">
        <v>657</v>
      </c>
      <c r="E42" s="37" t="s">
        <v>676</v>
      </c>
      <c r="F42" s="3" t="s">
        <v>677</v>
      </c>
      <c r="G42" s="21" t="s">
        <v>562</v>
      </c>
    </row>
    <row r="43" spans="1:7" ht="30" customHeight="1" x14ac:dyDescent="0.45">
      <c r="A43" s="21" t="s">
        <v>414</v>
      </c>
      <c r="B43" s="21" t="s">
        <v>535</v>
      </c>
      <c r="C43" s="3" t="s">
        <v>678</v>
      </c>
      <c r="D43" s="3" t="s">
        <v>657</v>
      </c>
      <c r="E43" s="37" t="s">
        <v>679</v>
      </c>
      <c r="F43" s="3" t="s">
        <v>680</v>
      </c>
      <c r="G43" s="21" t="s">
        <v>562</v>
      </c>
    </row>
    <row r="44" spans="1:7" ht="30" customHeight="1" x14ac:dyDescent="0.45">
      <c r="A44" s="21" t="s">
        <v>681</v>
      </c>
      <c r="B44" s="21" t="s">
        <v>535</v>
      </c>
      <c r="C44" s="3" t="s">
        <v>682</v>
      </c>
      <c r="D44" s="3" t="s">
        <v>657</v>
      </c>
      <c r="E44" s="37" t="s">
        <v>683</v>
      </c>
      <c r="F44" s="3" t="s">
        <v>684</v>
      </c>
      <c r="G44" s="21" t="s">
        <v>562</v>
      </c>
    </row>
    <row r="45" spans="1:7" ht="30" customHeight="1" x14ac:dyDescent="0.45">
      <c r="A45" s="21" t="s">
        <v>685</v>
      </c>
      <c r="B45" s="21" t="s">
        <v>535</v>
      </c>
      <c r="C45" s="3" t="s">
        <v>686</v>
      </c>
      <c r="D45" s="3" t="s">
        <v>657</v>
      </c>
      <c r="E45" s="37" t="s">
        <v>687</v>
      </c>
      <c r="F45" s="3" t="s">
        <v>688</v>
      </c>
      <c r="G45" s="21" t="s">
        <v>562</v>
      </c>
    </row>
    <row r="46" spans="1:7" ht="30" customHeight="1" x14ac:dyDescent="0.45">
      <c r="A46" s="21" t="s">
        <v>689</v>
      </c>
      <c r="B46" s="21" t="s">
        <v>535</v>
      </c>
      <c r="C46" s="3" t="s">
        <v>690</v>
      </c>
      <c r="D46" s="3" t="s">
        <v>596</v>
      </c>
      <c r="E46" s="37" t="s">
        <v>691</v>
      </c>
      <c r="F46" s="3" t="s">
        <v>692</v>
      </c>
      <c r="G46" s="21" t="s">
        <v>562</v>
      </c>
    </row>
    <row r="47" spans="1:7" ht="30" customHeight="1" x14ac:dyDescent="0.45">
      <c r="A47" s="21" t="s">
        <v>693</v>
      </c>
      <c r="B47" s="21" t="s">
        <v>535</v>
      </c>
      <c r="C47" s="3" t="s">
        <v>694</v>
      </c>
      <c r="D47" s="3" t="s">
        <v>657</v>
      </c>
      <c r="E47" s="37" t="s">
        <v>695</v>
      </c>
      <c r="F47" s="3" t="s">
        <v>696</v>
      </c>
      <c r="G47" s="21" t="s">
        <v>562</v>
      </c>
    </row>
    <row r="48" spans="1:7" ht="30" customHeight="1" x14ac:dyDescent="0.45">
      <c r="A48" s="21" t="s">
        <v>697</v>
      </c>
      <c r="B48" s="21" t="s">
        <v>535</v>
      </c>
      <c r="C48" s="3" t="s">
        <v>698</v>
      </c>
      <c r="D48" s="3" t="s">
        <v>596</v>
      </c>
      <c r="E48" s="37" t="s">
        <v>699</v>
      </c>
      <c r="F48" s="3" t="s">
        <v>700</v>
      </c>
      <c r="G48" s="21" t="s">
        <v>562</v>
      </c>
    </row>
    <row r="49" spans="1:7" ht="30" customHeight="1" x14ac:dyDescent="0.45">
      <c r="A49" s="21" t="s">
        <v>70</v>
      </c>
      <c r="B49" s="21" t="s">
        <v>535</v>
      </c>
      <c r="C49" s="3" t="s">
        <v>701</v>
      </c>
      <c r="D49" s="3" t="s">
        <v>596</v>
      </c>
      <c r="E49" s="37" t="s">
        <v>702</v>
      </c>
      <c r="F49" s="3" t="s">
        <v>703</v>
      </c>
      <c r="G49" s="21" t="s">
        <v>562</v>
      </c>
    </row>
    <row r="50" spans="1:7" ht="75" customHeight="1" x14ac:dyDescent="0.45">
      <c r="A50" s="21" t="s">
        <v>450</v>
      </c>
      <c r="B50" s="21" t="s">
        <v>41</v>
      </c>
      <c r="C50" s="3" t="s">
        <v>704</v>
      </c>
      <c r="D50" s="3" t="s">
        <v>596</v>
      </c>
      <c r="E50" s="37" t="s">
        <v>705</v>
      </c>
      <c r="F50" s="3" t="s">
        <v>706</v>
      </c>
      <c r="G50" s="21" t="s">
        <v>562</v>
      </c>
    </row>
    <row r="51" spans="1:7" ht="30" customHeight="1" x14ac:dyDescent="0.45">
      <c r="A51" s="21" t="s">
        <v>707</v>
      </c>
      <c r="B51" s="21" t="s">
        <v>41</v>
      </c>
      <c r="C51" s="3" t="s">
        <v>708</v>
      </c>
      <c r="D51" s="3" t="s">
        <v>596</v>
      </c>
      <c r="E51" s="37" t="s">
        <v>709</v>
      </c>
      <c r="F51" s="3" t="s">
        <v>598</v>
      </c>
      <c r="G51" s="21" t="s">
        <v>562</v>
      </c>
    </row>
    <row r="52" spans="1:7" ht="30" customHeight="1" x14ac:dyDescent="0.45">
      <c r="A52" s="21" t="s">
        <v>495</v>
      </c>
      <c r="B52" s="21" t="s">
        <v>41</v>
      </c>
      <c r="C52" s="3" t="s">
        <v>710</v>
      </c>
      <c r="D52" s="3" t="s">
        <v>596</v>
      </c>
      <c r="E52" s="37" t="s">
        <v>711</v>
      </c>
      <c r="F52" s="3" t="s">
        <v>712</v>
      </c>
      <c r="G52" s="21" t="s">
        <v>562</v>
      </c>
    </row>
    <row r="53" spans="1:7" ht="30" customHeight="1" x14ac:dyDescent="0.45">
      <c r="A53" s="21" t="s">
        <v>452</v>
      </c>
      <c r="B53" s="21" t="s">
        <v>41</v>
      </c>
      <c r="C53" s="3" t="s">
        <v>713</v>
      </c>
      <c r="D53" s="3" t="s">
        <v>622</v>
      </c>
      <c r="E53" s="37" t="s">
        <v>714</v>
      </c>
      <c r="F53" s="3" t="s">
        <v>715</v>
      </c>
      <c r="G53" s="21" t="s">
        <v>562</v>
      </c>
    </row>
    <row r="54" spans="1:7" ht="30" customHeight="1" x14ac:dyDescent="0.45">
      <c r="A54" s="21" t="s">
        <v>716</v>
      </c>
      <c r="B54" s="21" t="s">
        <v>41</v>
      </c>
      <c r="C54" s="3" t="s">
        <v>717</v>
      </c>
      <c r="D54" s="3" t="s">
        <v>622</v>
      </c>
      <c r="E54" s="37" t="s">
        <v>718</v>
      </c>
      <c r="F54" s="3" t="s">
        <v>719</v>
      </c>
      <c r="G54" s="21" t="s">
        <v>562</v>
      </c>
    </row>
    <row r="55" spans="1:7" ht="30" customHeight="1" x14ac:dyDescent="0.45">
      <c r="A55" s="21" t="s">
        <v>720</v>
      </c>
      <c r="B55" s="21" t="s">
        <v>41</v>
      </c>
      <c r="C55" s="3" t="s">
        <v>721</v>
      </c>
      <c r="D55" s="3" t="s">
        <v>722</v>
      </c>
      <c r="E55" s="37" t="s">
        <v>629</v>
      </c>
      <c r="F55" s="3" t="s">
        <v>723</v>
      </c>
      <c r="G55" s="21" t="s">
        <v>562</v>
      </c>
    </row>
    <row r="56" spans="1:7" ht="30" customHeight="1" x14ac:dyDescent="0.45">
      <c r="A56" s="21" t="s">
        <v>724</v>
      </c>
      <c r="B56" s="21" t="s">
        <v>41</v>
      </c>
      <c r="C56" s="3" t="s">
        <v>725</v>
      </c>
      <c r="D56" s="3" t="s">
        <v>596</v>
      </c>
      <c r="E56" s="37" t="s">
        <v>726</v>
      </c>
      <c r="F56" s="3" t="s">
        <v>598</v>
      </c>
      <c r="G56" s="21" t="s">
        <v>562</v>
      </c>
    </row>
    <row r="57" spans="1:7" ht="30" customHeight="1" x14ac:dyDescent="0.45">
      <c r="A57" s="21" t="s">
        <v>727</v>
      </c>
      <c r="B57" s="21" t="s">
        <v>41</v>
      </c>
      <c r="C57" s="3" t="s">
        <v>728</v>
      </c>
      <c r="D57" s="3" t="s">
        <v>596</v>
      </c>
      <c r="E57" s="37" t="s">
        <v>729</v>
      </c>
      <c r="F57" s="3" t="s">
        <v>644</v>
      </c>
      <c r="G57" s="21" t="s">
        <v>562</v>
      </c>
    </row>
    <row r="58" spans="1:7" ht="30" customHeight="1" x14ac:dyDescent="0.45">
      <c r="A58" s="21" t="s">
        <v>730</v>
      </c>
      <c r="B58" s="21" t="s">
        <v>41</v>
      </c>
      <c r="C58" s="3" t="s">
        <v>731</v>
      </c>
      <c r="D58" s="3" t="s">
        <v>596</v>
      </c>
      <c r="E58" s="37" t="s">
        <v>732</v>
      </c>
      <c r="F58" s="3" t="s">
        <v>644</v>
      </c>
      <c r="G58" s="21" t="s">
        <v>562</v>
      </c>
    </row>
    <row r="59" spans="1:7" ht="45" customHeight="1" x14ac:dyDescent="0.45">
      <c r="A59" s="21" t="s">
        <v>733</v>
      </c>
      <c r="B59" s="21" t="s">
        <v>41</v>
      </c>
      <c r="C59" s="3" t="s">
        <v>734</v>
      </c>
      <c r="D59" s="3" t="s">
        <v>596</v>
      </c>
      <c r="E59" s="37" t="s">
        <v>735</v>
      </c>
      <c r="F59" s="3" t="s">
        <v>736</v>
      </c>
      <c r="G59" s="21" t="s">
        <v>562</v>
      </c>
    </row>
    <row r="60" spans="1:7" ht="45" customHeight="1" x14ac:dyDescent="0.45">
      <c r="A60" s="21" t="s">
        <v>737</v>
      </c>
      <c r="B60" s="21" t="s">
        <v>41</v>
      </c>
      <c r="C60" s="3" t="s">
        <v>738</v>
      </c>
      <c r="D60" s="3" t="s">
        <v>596</v>
      </c>
      <c r="E60" s="37" t="s">
        <v>739</v>
      </c>
      <c r="F60" s="3" t="s">
        <v>740</v>
      </c>
      <c r="G60" s="21" t="s">
        <v>562</v>
      </c>
    </row>
    <row r="61" spans="1:7" ht="30" customHeight="1" x14ac:dyDescent="0.45">
      <c r="A61" s="21" t="s">
        <v>741</v>
      </c>
      <c r="B61" s="21" t="s">
        <v>41</v>
      </c>
      <c r="C61" s="3" t="s">
        <v>742</v>
      </c>
      <c r="D61" s="3" t="s">
        <v>622</v>
      </c>
      <c r="E61" s="37" t="s">
        <v>743</v>
      </c>
      <c r="F61" s="3" t="s">
        <v>624</v>
      </c>
      <c r="G61" s="21" t="s">
        <v>562</v>
      </c>
    </row>
    <row r="62" spans="1:7" ht="30" customHeight="1" x14ac:dyDescent="0.45">
      <c r="A62" s="21" t="s">
        <v>744</v>
      </c>
      <c r="B62" s="21" t="s">
        <v>41</v>
      </c>
      <c r="C62" s="3" t="s">
        <v>745</v>
      </c>
      <c r="D62" s="3" t="s">
        <v>596</v>
      </c>
      <c r="E62" s="37" t="s">
        <v>746</v>
      </c>
      <c r="F62" s="3" t="s">
        <v>598</v>
      </c>
      <c r="G62" s="21" t="s">
        <v>562</v>
      </c>
    </row>
    <row r="63" spans="1:7" ht="30" customHeight="1" x14ac:dyDescent="0.45">
      <c r="A63" s="21" t="s">
        <v>264</v>
      </c>
      <c r="B63" s="21" t="s">
        <v>524</v>
      </c>
      <c r="C63" s="3" t="s">
        <v>747</v>
      </c>
      <c r="D63" s="3" t="s">
        <v>748</v>
      </c>
      <c r="E63" s="37" t="s">
        <v>749</v>
      </c>
      <c r="F63" s="3" t="s">
        <v>750</v>
      </c>
      <c r="G63" s="21" t="s">
        <v>562</v>
      </c>
    </row>
    <row r="64" spans="1:7" ht="30" customHeight="1" x14ac:dyDescent="0.45">
      <c r="A64" s="21" t="s">
        <v>261</v>
      </c>
      <c r="B64" s="21" t="s">
        <v>524</v>
      </c>
      <c r="C64" s="3" t="s">
        <v>751</v>
      </c>
      <c r="D64" s="3" t="s">
        <v>748</v>
      </c>
      <c r="E64" s="37" t="s">
        <v>752</v>
      </c>
      <c r="F64" s="3" t="s">
        <v>753</v>
      </c>
      <c r="G64" s="21" t="s">
        <v>562</v>
      </c>
    </row>
    <row r="65" spans="1:7" ht="30" customHeight="1" x14ac:dyDescent="0.45">
      <c r="A65" s="21" t="s">
        <v>754</v>
      </c>
      <c r="B65" s="21" t="s">
        <v>524</v>
      </c>
      <c r="C65" s="3" t="s">
        <v>755</v>
      </c>
      <c r="D65" s="3" t="s">
        <v>756</v>
      </c>
      <c r="E65" s="37" t="s">
        <v>757</v>
      </c>
      <c r="F65" s="3" t="s">
        <v>598</v>
      </c>
      <c r="G65" s="21" t="s">
        <v>562</v>
      </c>
    </row>
    <row r="66" spans="1:7" ht="30" customHeight="1" x14ac:dyDescent="0.45">
      <c r="A66" s="21" t="s">
        <v>758</v>
      </c>
      <c r="B66" s="21" t="s">
        <v>524</v>
      </c>
      <c r="C66" s="3" t="s">
        <v>759</v>
      </c>
      <c r="D66" s="3" t="s">
        <v>756</v>
      </c>
      <c r="E66" s="37" t="s">
        <v>760</v>
      </c>
      <c r="F66" s="3" t="s">
        <v>761</v>
      </c>
      <c r="G66" s="21" t="s">
        <v>562</v>
      </c>
    </row>
    <row r="67" spans="1:7" ht="18" customHeight="1" x14ac:dyDescent="0.45">
      <c r="A67" s="21" t="s">
        <v>762</v>
      </c>
      <c r="B67" s="21" t="s">
        <v>524</v>
      </c>
      <c r="C67" s="3" t="s">
        <v>763</v>
      </c>
      <c r="D67" s="3" t="s">
        <v>764</v>
      </c>
      <c r="E67" s="37" t="s">
        <v>765</v>
      </c>
      <c r="F67" s="3" t="s">
        <v>598</v>
      </c>
      <c r="G67" s="21" t="s">
        <v>562</v>
      </c>
    </row>
    <row r="68" spans="1:7" ht="45" customHeight="1" x14ac:dyDescent="0.45">
      <c r="A68" s="21" t="s">
        <v>766</v>
      </c>
      <c r="B68" s="21" t="s">
        <v>524</v>
      </c>
      <c r="C68" s="3" t="s">
        <v>767</v>
      </c>
      <c r="D68" s="3" t="s">
        <v>596</v>
      </c>
      <c r="E68" s="37" t="s">
        <v>739</v>
      </c>
      <c r="F68" s="3" t="s">
        <v>768</v>
      </c>
      <c r="G68" s="21" t="s">
        <v>562</v>
      </c>
    </row>
    <row r="69" spans="1:7" ht="30" customHeight="1" x14ac:dyDescent="0.45">
      <c r="A69" s="21" t="s">
        <v>769</v>
      </c>
      <c r="B69" s="21" t="s">
        <v>524</v>
      </c>
      <c r="C69" s="3" t="s">
        <v>770</v>
      </c>
      <c r="D69" s="3" t="s">
        <v>596</v>
      </c>
      <c r="E69" s="37" t="s">
        <v>771</v>
      </c>
      <c r="F69" s="3" t="s">
        <v>772</v>
      </c>
      <c r="G69" s="21" t="s">
        <v>562</v>
      </c>
    </row>
    <row r="70" spans="1:7" ht="30" customHeight="1" x14ac:dyDescent="0.45">
      <c r="A70" s="21" t="s">
        <v>773</v>
      </c>
      <c r="B70" s="21" t="s">
        <v>524</v>
      </c>
      <c r="C70" s="3" t="s">
        <v>774</v>
      </c>
      <c r="D70" s="3" t="s">
        <v>775</v>
      </c>
      <c r="E70" s="37" t="s">
        <v>776</v>
      </c>
      <c r="F70" s="3" t="s">
        <v>598</v>
      </c>
      <c r="G70" s="21" t="s">
        <v>562</v>
      </c>
    </row>
    <row r="71" spans="1:7" ht="18" customHeight="1" x14ac:dyDescent="0.45">
      <c r="A71" s="21" t="s">
        <v>777</v>
      </c>
      <c r="B71" s="21" t="s">
        <v>524</v>
      </c>
      <c r="C71" s="3" t="s">
        <v>778</v>
      </c>
      <c r="D71" s="3" t="s">
        <v>775</v>
      </c>
      <c r="E71" s="37" t="s">
        <v>779</v>
      </c>
      <c r="F71" s="3" t="s">
        <v>780</v>
      </c>
      <c r="G71" s="21" t="s">
        <v>562</v>
      </c>
    </row>
    <row r="72" spans="1:7" ht="60" customHeight="1" x14ac:dyDescent="0.45">
      <c r="A72" s="21" t="s">
        <v>781</v>
      </c>
      <c r="B72" s="21" t="s">
        <v>524</v>
      </c>
      <c r="C72" s="3" t="s">
        <v>782</v>
      </c>
      <c r="D72" s="3" t="s">
        <v>783</v>
      </c>
      <c r="E72" s="37" t="s">
        <v>784</v>
      </c>
      <c r="F72" s="3" t="s">
        <v>598</v>
      </c>
      <c r="G72" s="21" t="s">
        <v>562</v>
      </c>
    </row>
    <row r="73" spans="1:7" ht="45" customHeight="1" x14ac:dyDescent="0.45">
      <c r="A73" s="21" t="s">
        <v>785</v>
      </c>
      <c r="B73" s="21" t="s">
        <v>524</v>
      </c>
      <c r="C73" s="3" t="s">
        <v>786</v>
      </c>
      <c r="D73" s="3" t="s">
        <v>783</v>
      </c>
      <c r="E73" s="37" t="s">
        <v>787</v>
      </c>
      <c r="F73" s="3" t="s">
        <v>788</v>
      </c>
      <c r="G73" s="21" t="s">
        <v>562</v>
      </c>
    </row>
    <row r="74" spans="1:7" ht="60" customHeight="1" x14ac:dyDescent="0.45">
      <c r="A74" s="21" t="s">
        <v>789</v>
      </c>
      <c r="B74" s="21" t="s">
        <v>524</v>
      </c>
      <c r="C74" s="3" t="s">
        <v>790</v>
      </c>
      <c r="D74" s="3" t="s">
        <v>748</v>
      </c>
      <c r="E74" s="37" t="s">
        <v>791</v>
      </c>
      <c r="F74" s="3" t="s">
        <v>792</v>
      </c>
      <c r="G74" s="21" t="s">
        <v>562</v>
      </c>
    </row>
    <row r="75" spans="1:7" ht="45" customHeight="1" x14ac:dyDescent="0.45">
      <c r="A75" s="21" t="s">
        <v>68</v>
      </c>
      <c r="B75" s="21" t="s">
        <v>793</v>
      </c>
      <c r="C75" s="3" t="s">
        <v>794</v>
      </c>
      <c r="D75" s="3" t="s">
        <v>795</v>
      </c>
      <c r="E75" s="37" t="s">
        <v>796</v>
      </c>
      <c r="F75" s="3" t="s">
        <v>797</v>
      </c>
      <c r="G75" s="21" t="s">
        <v>562</v>
      </c>
    </row>
    <row r="76" spans="1:7" ht="30" customHeight="1" x14ac:dyDescent="0.45">
      <c r="A76" s="21" t="s">
        <v>76</v>
      </c>
      <c r="B76" s="21" t="s">
        <v>793</v>
      </c>
      <c r="C76" s="3" t="s">
        <v>798</v>
      </c>
      <c r="D76" s="3" t="s">
        <v>799</v>
      </c>
      <c r="E76" s="37" t="s">
        <v>800</v>
      </c>
      <c r="F76" s="3" t="s">
        <v>801</v>
      </c>
      <c r="G76" s="21" t="s">
        <v>562</v>
      </c>
    </row>
    <row r="77" spans="1:7" ht="30" customHeight="1" x14ac:dyDescent="0.45">
      <c r="A77" s="21" t="s">
        <v>802</v>
      </c>
      <c r="B77" s="21" t="s">
        <v>793</v>
      </c>
      <c r="C77" s="3" t="s">
        <v>803</v>
      </c>
      <c r="D77" s="3" t="s">
        <v>596</v>
      </c>
      <c r="E77" s="37" t="s">
        <v>804</v>
      </c>
      <c r="F77" s="3" t="s">
        <v>598</v>
      </c>
      <c r="G77" s="21" t="s">
        <v>562</v>
      </c>
    </row>
    <row r="78" spans="1:7" ht="30" customHeight="1" x14ac:dyDescent="0.45">
      <c r="A78" s="21" t="s">
        <v>805</v>
      </c>
      <c r="B78" s="21" t="s">
        <v>793</v>
      </c>
      <c r="C78" s="3" t="s">
        <v>806</v>
      </c>
      <c r="D78" s="3" t="s">
        <v>596</v>
      </c>
      <c r="E78" s="37" t="s">
        <v>807</v>
      </c>
      <c r="F78" s="3" t="s">
        <v>598</v>
      </c>
      <c r="G78" s="21" t="s">
        <v>562</v>
      </c>
    </row>
    <row r="79" spans="1:7" ht="30" customHeight="1" x14ac:dyDescent="0.45">
      <c r="A79" s="21" t="s">
        <v>63</v>
      </c>
      <c r="B79" s="21" t="s">
        <v>793</v>
      </c>
      <c r="C79" s="3" t="s">
        <v>808</v>
      </c>
      <c r="D79" s="3" t="s">
        <v>596</v>
      </c>
      <c r="E79" s="37" t="s">
        <v>809</v>
      </c>
      <c r="F79" s="3" t="s">
        <v>810</v>
      </c>
      <c r="G79" s="21" t="s">
        <v>562</v>
      </c>
    </row>
    <row r="80" spans="1:7" ht="30" customHeight="1" x14ac:dyDescent="0.45">
      <c r="A80" s="21" t="s">
        <v>60</v>
      </c>
      <c r="B80" s="21" t="s">
        <v>793</v>
      </c>
      <c r="C80" s="3" t="s">
        <v>811</v>
      </c>
      <c r="D80" s="3" t="s">
        <v>812</v>
      </c>
      <c r="E80" s="37" t="s">
        <v>813</v>
      </c>
      <c r="F80" s="3" t="s">
        <v>814</v>
      </c>
      <c r="G80" s="21" t="s">
        <v>562</v>
      </c>
    </row>
    <row r="81" spans="1:7" ht="60" customHeight="1" x14ac:dyDescent="0.45">
      <c r="A81" s="21" t="s">
        <v>815</v>
      </c>
      <c r="B81" s="21" t="s">
        <v>793</v>
      </c>
      <c r="C81" s="3" t="s">
        <v>816</v>
      </c>
      <c r="D81" s="3" t="s">
        <v>817</v>
      </c>
      <c r="E81" s="37" t="s">
        <v>818</v>
      </c>
      <c r="F81" s="3" t="s">
        <v>819</v>
      </c>
      <c r="G81" s="21" t="s">
        <v>562</v>
      </c>
    </row>
    <row r="82" spans="1:7" ht="45" customHeight="1" x14ac:dyDescent="0.45">
      <c r="A82" s="21" t="s">
        <v>72</v>
      </c>
      <c r="B82" s="21" t="s">
        <v>793</v>
      </c>
      <c r="C82" s="3" t="s">
        <v>820</v>
      </c>
      <c r="D82" s="3" t="s">
        <v>596</v>
      </c>
      <c r="E82" s="37" t="s">
        <v>821</v>
      </c>
      <c r="F82" s="3" t="s">
        <v>598</v>
      </c>
      <c r="G82" s="21" t="s">
        <v>562</v>
      </c>
    </row>
    <row r="83" spans="1:7" ht="30" customHeight="1" x14ac:dyDescent="0.45">
      <c r="A83" s="21" t="s">
        <v>822</v>
      </c>
      <c r="B83" s="21" t="s">
        <v>793</v>
      </c>
      <c r="C83" s="3" t="s">
        <v>823</v>
      </c>
      <c r="D83" s="3" t="s">
        <v>824</v>
      </c>
      <c r="E83" s="37" t="s">
        <v>825</v>
      </c>
      <c r="F83" s="3" t="s">
        <v>826</v>
      </c>
      <c r="G83" s="21" t="s">
        <v>562</v>
      </c>
    </row>
  </sheetData>
  <autoFilter ref="A4:G83" xr:uid="{00000000-0009-0000-0000-000009000000}"/>
  <mergeCells count="1">
    <mergeCell ref="A2:G2"/>
  </mergeCells>
  <phoneticPr fontId="8"/>
  <hyperlinks>
    <hyperlink ref="E5" r:id="rId1" xr:uid="{00000000-0004-0000-0900-000000000000}"/>
    <hyperlink ref="E6" r:id="rId2" xr:uid="{00000000-0004-0000-0900-000001000000}"/>
    <hyperlink ref="E7" r:id="rId3" xr:uid="{00000000-0004-0000-0900-000002000000}"/>
    <hyperlink ref="E8" r:id="rId4" xr:uid="{00000000-0004-0000-0900-000003000000}"/>
    <hyperlink ref="E9" r:id="rId5" xr:uid="{00000000-0004-0000-0900-000004000000}"/>
    <hyperlink ref="E10" r:id="rId6" xr:uid="{00000000-0004-0000-0900-000005000000}"/>
    <hyperlink ref="E11" r:id="rId7" xr:uid="{00000000-0004-0000-0900-000006000000}"/>
    <hyperlink ref="E12" r:id="rId8" xr:uid="{00000000-0004-0000-0900-000007000000}"/>
    <hyperlink ref="E13" r:id="rId9" xr:uid="{00000000-0004-0000-0900-000008000000}"/>
    <hyperlink ref="E14" r:id="rId10" xr:uid="{00000000-0004-0000-0900-000009000000}"/>
    <hyperlink ref="E15" r:id="rId11" xr:uid="{00000000-0004-0000-0900-00000A000000}"/>
    <hyperlink ref="E16" r:id="rId12" xr:uid="{00000000-0004-0000-0900-00000B000000}"/>
    <hyperlink ref="E17" r:id="rId13" xr:uid="{00000000-0004-0000-0900-00000C000000}"/>
    <hyperlink ref="E18" r:id="rId14" xr:uid="{00000000-0004-0000-0900-00000D000000}"/>
    <hyperlink ref="E19" r:id="rId15" xr:uid="{00000000-0004-0000-0900-00000E000000}"/>
    <hyperlink ref="E20" r:id="rId16" xr:uid="{00000000-0004-0000-0900-00000F000000}"/>
    <hyperlink ref="E21" r:id="rId17" xr:uid="{00000000-0004-0000-0900-000010000000}"/>
    <hyperlink ref="E22" r:id="rId18" xr:uid="{00000000-0004-0000-0900-000011000000}"/>
    <hyperlink ref="E23" r:id="rId19" xr:uid="{00000000-0004-0000-0900-000012000000}"/>
    <hyperlink ref="E24" r:id="rId20" xr:uid="{00000000-0004-0000-0900-000013000000}"/>
    <hyperlink ref="E25" r:id="rId21" xr:uid="{00000000-0004-0000-0900-000014000000}"/>
    <hyperlink ref="E26" r:id="rId22" xr:uid="{00000000-0004-0000-0900-000015000000}"/>
    <hyperlink ref="E27" r:id="rId23" xr:uid="{00000000-0004-0000-0900-000016000000}"/>
    <hyperlink ref="E28" r:id="rId24" xr:uid="{00000000-0004-0000-0900-000017000000}"/>
    <hyperlink ref="E29" r:id="rId25" xr:uid="{00000000-0004-0000-0900-000018000000}"/>
    <hyperlink ref="E30" r:id="rId26" xr:uid="{00000000-0004-0000-0900-000019000000}"/>
    <hyperlink ref="E31" r:id="rId27" xr:uid="{00000000-0004-0000-0900-00001A000000}"/>
    <hyperlink ref="E32" r:id="rId28" xr:uid="{00000000-0004-0000-0900-00001B000000}"/>
    <hyperlink ref="E33" r:id="rId29" xr:uid="{00000000-0004-0000-0900-00001C000000}"/>
    <hyperlink ref="E34" r:id="rId30" xr:uid="{00000000-0004-0000-0900-00001D000000}"/>
    <hyperlink ref="E35" r:id="rId31" xr:uid="{00000000-0004-0000-0900-00001E000000}"/>
    <hyperlink ref="E36" r:id="rId32" xr:uid="{00000000-0004-0000-0900-00001F000000}"/>
    <hyperlink ref="E37" r:id="rId33" xr:uid="{00000000-0004-0000-0900-000020000000}"/>
    <hyperlink ref="E38" r:id="rId34" xr:uid="{00000000-0004-0000-0900-000021000000}"/>
    <hyperlink ref="E39" r:id="rId35" xr:uid="{00000000-0004-0000-0900-000022000000}"/>
    <hyperlink ref="E40" r:id="rId36" xr:uid="{00000000-0004-0000-0900-000023000000}"/>
    <hyperlink ref="E41" r:id="rId37" xr:uid="{00000000-0004-0000-0900-000024000000}"/>
    <hyperlink ref="E42" r:id="rId38" xr:uid="{00000000-0004-0000-0900-000025000000}"/>
    <hyperlink ref="E43" r:id="rId39" xr:uid="{00000000-0004-0000-0900-000026000000}"/>
    <hyperlink ref="E44" r:id="rId40" xr:uid="{00000000-0004-0000-0900-000027000000}"/>
    <hyperlink ref="E45" r:id="rId41" xr:uid="{00000000-0004-0000-0900-000028000000}"/>
    <hyperlink ref="E46" r:id="rId42" xr:uid="{00000000-0004-0000-0900-000029000000}"/>
    <hyperlink ref="E47" r:id="rId43" xr:uid="{00000000-0004-0000-0900-00002A000000}"/>
    <hyperlink ref="E48" r:id="rId44" xr:uid="{00000000-0004-0000-0900-00002B000000}"/>
    <hyperlink ref="E49" r:id="rId45" xr:uid="{00000000-0004-0000-0900-00002C000000}"/>
    <hyperlink ref="E50" r:id="rId46" xr:uid="{00000000-0004-0000-0900-00002D000000}"/>
    <hyperlink ref="E51" r:id="rId47" xr:uid="{00000000-0004-0000-0900-00002E000000}"/>
    <hyperlink ref="E52" r:id="rId48" xr:uid="{00000000-0004-0000-0900-00002F000000}"/>
    <hyperlink ref="E53" r:id="rId49" xr:uid="{00000000-0004-0000-0900-000030000000}"/>
    <hyperlink ref="E54" r:id="rId50" xr:uid="{00000000-0004-0000-0900-000031000000}"/>
    <hyperlink ref="E55" r:id="rId51" xr:uid="{00000000-0004-0000-0900-000032000000}"/>
    <hyperlink ref="E56" r:id="rId52" xr:uid="{00000000-0004-0000-0900-000033000000}"/>
    <hyperlink ref="E57" r:id="rId53" xr:uid="{00000000-0004-0000-0900-000034000000}"/>
    <hyperlink ref="E58" r:id="rId54" xr:uid="{00000000-0004-0000-0900-000035000000}"/>
    <hyperlink ref="E59" r:id="rId55" xr:uid="{00000000-0004-0000-0900-000036000000}"/>
    <hyperlink ref="E60" r:id="rId56" xr:uid="{00000000-0004-0000-0900-000037000000}"/>
    <hyperlink ref="E61" r:id="rId57" xr:uid="{00000000-0004-0000-0900-000038000000}"/>
    <hyperlink ref="E62" r:id="rId58" xr:uid="{00000000-0004-0000-0900-000039000000}"/>
    <hyperlink ref="E63" r:id="rId59" xr:uid="{00000000-0004-0000-0900-00003A000000}"/>
    <hyperlink ref="E64" r:id="rId60" xr:uid="{00000000-0004-0000-0900-00003B000000}"/>
    <hyperlink ref="E65" r:id="rId61" xr:uid="{00000000-0004-0000-0900-00003C000000}"/>
    <hyperlink ref="E66" r:id="rId62" xr:uid="{00000000-0004-0000-0900-00003D000000}"/>
    <hyperlink ref="E67" r:id="rId63" xr:uid="{00000000-0004-0000-0900-00003E000000}"/>
    <hyperlink ref="E68" r:id="rId64" xr:uid="{00000000-0004-0000-0900-00003F000000}"/>
    <hyperlink ref="E69" r:id="rId65" xr:uid="{00000000-0004-0000-0900-000040000000}"/>
    <hyperlink ref="E70" r:id="rId66" xr:uid="{00000000-0004-0000-0900-000041000000}"/>
    <hyperlink ref="E71" r:id="rId67" xr:uid="{00000000-0004-0000-0900-000042000000}"/>
    <hyperlink ref="E72" r:id="rId68" xr:uid="{00000000-0004-0000-0900-000043000000}"/>
    <hyperlink ref="E73" r:id="rId69" xr:uid="{00000000-0004-0000-0900-000044000000}"/>
    <hyperlink ref="E74" r:id="rId70" xr:uid="{00000000-0004-0000-0900-000045000000}"/>
    <hyperlink ref="E75" r:id="rId71" xr:uid="{00000000-0004-0000-0900-000046000000}"/>
    <hyperlink ref="E76" r:id="rId72" xr:uid="{00000000-0004-0000-0900-000047000000}"/>
    <hyperlink ref="E77" r:id="rId73" xr:uid="{00000000-0004-0000-0900-000048000000}"/>
    <hyperlink ref="E78" r:id="rId74" xr:uid="{00000000-0004-0000-0900-000049000000}"/>
    <hyperlink ref="E79" r:id="rId75" xr:uid="{00000000-0004-0000-0900-00004A000000}"/>
    <hyperlink ref="E80" r:id="rId76" xr:uid="{00000000-0004-0000-0900-00004B000000}"/>
    <hyperlink ref="E81" r:id="rId77" xr:uid="{00000000-0004-0000-0900-00004C000000}"/>
    <hyperlink ref="E82" r:id="rId78" xr:uid="{00000000-0004-0000-0900-00004D000000}"/>
    <hyperlink ref="E83" r:id="rId79" xr:uid="{00000000-0004-0000-0900-00004E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はじめに</vt:lpstr>
      <vt:lpstr>4つの比較</vt:lpstr>
      <vt:lpstr>公費の支え</vt:lpstr>
      <vt:lpstr>HIV・エイズ</vt:lpstr>
      <vt:lpstr>HIV・世界の動向</vt:lpstr>
      <vt:lpstr>梅毒</vt:lpstr>
      <vt:lpstr>はしか</vt:lpstr>
      <vt:lpstr>結核</vt:lpstr>
      <vt:lpstr>見るときの注意</vt:lpstr>
      <vt:lpstr>出典一覧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宮田 由希</cp:lastModifiedBy>
  <dcterms:created xsi:type="dcterms:W3CDTF">2026-10-26T08:30:48Z</dcterms:created>
  <dcterms:modified xsi:type="dcterms:W3CDTF">2026-10-26T08:31:24Z</dcterms:modified>
</cp:coreProperties>
</file>