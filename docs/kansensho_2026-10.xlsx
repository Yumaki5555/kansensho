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CD3B85E6-6815-4051-981A-469A040E6432}" xr6:coauthVersionLast="47" xr6:coauthVersionMax="47" xr10:uidLastSave="{00000000-0000-0000-0000-000000000000}"/>
  <bookViews>
    <workbookView xWindow="22932" yWindow="-108" windowWidth="23256" windowHeight="12456" xr2:uid="{00000000-000D-0000-FFFF-FFFF00000000}"/>
  </bookViews>
  <sheets>
    <sheet name="はじめに" sheetId="1" r:id="rId1"/>
    <sheet name="4つの比較" sheetId="2" r:id="rId2"/>
    <sheet name="HIV・エイズ" sheetId="3" r:id="rId3"/>
    <sheet name="HIV・世界の動向" sheetId="4" r:id="rId4"/>
    <sheet name="梅毒" sheetId="5" r:id="rId5"/>
    <sheet name="はしか" sheetId="6" r:id="rId6"/>
    <sheet name="結核" sheetId="7" r:id="rId7"/>
    <sheet name="見るときの注意" sheetId="8" r:id="rId8"/>
    <sheet name="出典一覧" sheetId="9" r:id="rId9"/>
  </sheets>
  <definedNames>
    <definedName name="_xlnm._FilterDatabase" localSheetId="8" hidden="1">出典一覧!$A$4:$G$74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7" l="1"/>
  <c r="D15" i="7"/>
  <c r="D14" i="7"/>
  <c r="D13" i="7"/>
  <c r="D12" i="7"/>
  <c r="D11" i="7"/>
  <c r="D10" i="7"/>
  <c r="D9" i="7"/>
  <c r="D8" i="7"/>
  <c r="D7" i="7"/>
  <c r="E21" i="6"/>
  <c r="C16" i="6"/>
  <c r="C15" i="6"/>
  <c r="C14" i="6"/>
  <c r="C13" i="6"/>
  <c r="C12" i="6"/>
  <c r="C11" i="6"/>
  <c r="C10" i="6"/>
  <c r="C9" i="6"/>
  <c r="C8" i="6"/>
  <c r="C7" i="6"/>
  <c r="E21" i="5"/>
  <c r="E16" i="5"/>
  <c r="E15" i="5"/>
  <c r="E14" i="5"/>
  <c r="E13" i="5"/>
  <c r="E12" i="5"/>
  <c r="E11" i="5"/>
  <c r="E10" i="5"/>
  <c r="E9" i="5"/>
  <c r="E8" i="5"/>
  <c r="E7" i="5"/>
  <c r="E22" i="3"/>
  <c r="E21" i="3"/>
  <c r="E20" i="3"/>
  <c r="D15" i="3"/>
  <c r="D5" i="2" s="1"/>
  <c r="D14" i="3"/>
  <c r="D13" i="3"/>
  <c r="E14" i="3" s="1"/>
  <c r="D12" i="3"/>
  <c r="E13" i="3" s="1"/>
  <c r="D11" i="3"/>
  <c r="E12" i="3" s="1"/>
  <c r="D10" i="3"/>
  <c r="E11" i="3" s="1"/>
  <c r="D9" i="3"/>
  <c r="E10" i="3" s="1"/>
  <c r="D8" i="3"/>
  <c r="E9" i="3" s="1"/>
  <c r="D7" i="3"/>
  <c r="E8" i="3" s="1"/>
  <c r="D6" i="3"/>
  <c r="E7" i="3" s="1"/>
  <c r="M8" i="2"/>
  <c r="L8" i="2"/>
  <c r="N8" i="2" s="1"/>
  <c r="K8" i="2"/>
  <c r="H8" i="2"/>
  <c r="G8" i="2"/>
  <c r="E8" i="2"/>
  <c r="D8" i="2"/>
  <c r="C8" i="2"/>
  <c r="M7" i="2"/>
  <c r="L7" i="2"/>
  <c r="N7" i="2" s="1"/>
  <c r="K7" i="2"/>
  <c r="J7" i="2"/>
  <c r="H7" i="2"/>
  <c r="G7" i="2"/>
  <c r="E7" i="2"/>
  <c r="D7" i="2"/>
  <c r="C7" i="2"/>
  <c r="M6" i="2"/>
  <c r="L6" i="2"/>
  <c r="N6" i="2" s="1"/>
  <c r="K6" i="2"/>
  <c r="J6" i="2"/>
  <c r="H6" i="2"/>
  <c r="G6" i="2"/>
  <c r="E6" i="2"/>
  <c r="D6" i="2"/>
  <c r="C6" i="2"/>
  <c r="M5" i="2"/>
  <c r="N5" i="2" s="1"/>
  <c r="L5" i="2"/>
  <c r="K5" i="2"/>
  <c r="H5" i="2"/>
  <c r="G5" i="2"/>
  <c r="C5" i="2"/>
  <c r="I5" i="2" l="1"/>
  <c r="E15" i="3"/>
  <c r="E5" i="2"/>
  <c r="F5" i="2" s="1"/>
  <c r="I8" i="2"/>
  <c r="F8" i="2"/>
  <c r="I7" i="2"/>
  <c r="F7" i="2"/>
  <c r="I6" i="2"/>
  <c r="F6" i="2"/>
</calcChain>
</file>

<file path=xl/sharedStrings.xml><?xml version="1.0" encoding="utf-8"?>
<sst xmlns="http://schemas.openxmlformats.org/spreadsheetml/2006/main" count="1665" uniqueCount="712">
  <si>
    <t>日本の感染症を知る：HIV/エイズ・梅毒・はしか・結核の状況</t>
  </si>
  <si>
    <t>作成日</t>
  </si>
  <si>
    <t>2026年10月26日（この日までに国が公表した資料をもとにしています）</t>
  </si>
  <si>
    <t>内容</t>
  </si>
  <si>
    <t>4つの感染症について、最新の人数、過去10年の動き、男女・年代・都道府県、2026年の途中経過、国の対策をまとめました。</t>
  </si>
  <si>
    <t>使った資料</t>
  </si>
  <si>
    <t>国の公式資料だけを使いました（厚生労働省、国立健康危機管理研究機構〔JIHS〕）。HIV/エイズの年報は、厚生労働省のページから案内されている「エイズ予防情報ネット」（国の委託先）に置かれているものを使っています。HIV/エイズの「世界の動向」だけは、国連の機関（国連合同エイズ計画〔UNAIDS〕・国際移住機関〔IOM〕）の公式資料を使っています。</t>
  </si>
  <si>
    <t>シートの説明</t>
  </si>
  <si>
    <t>「4つの比較」…4つの病気を1つの表で比べます。
「HIV・エイズ」「梅毒」「はしか」「結核」…病気ごとの詳しい数字です。
「HIV・世界の動向」…世界全体と、日本と協力覚書を結んだ国のHIVの状況（UNAIDSの推計）、移住者とHIV、入国前の健康診断。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</si>
  <si>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</si>
  <si>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</si>
  <si>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</si>
  <si>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</si>
  <si>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</si>
  <si>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</si>
  <si>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</si>
  <si>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</si>
  <si>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4つの病気の比較</t>
  </si>
  <si>
    <t>数字は各病気のシートから自動で読み込んでいます。前年比・10年前と比べた倍率・前年同期比はここで計算したものです。</t>
  </si>
  <si>
    <t>病気</t>
  </si>
  <si>
    <t>数えているもの</t>
  </si>
  <si>
    <t>最新の確定値の年</t>
  </si>
  <si>
    <t>最新の確定値</t>
  </si>
  <si>
    <t>その前の年</t>
  </si>
  <si>
    <t>前年比</t>
  </si>
  <si>
    <t>10年前の年</t>
  </si>
  <si>
    <t>10年前の数</t>
  </si>
  <si>
    <t>10年前と比べて</t>
  </si>
  <si>
    <t>2025年（速報値）</t>
  </si>
  <si>
    <t>2026年の途中経過の期間</t>
  </si>
  <si>
    <t>2026年の途中経過</t>
  </si>
  <si>
    <t>前年の同じ時期</t>
  </si>
  <si>
    <t>前年同期比</t>
  </si>
  <si>
    <t>HIV/エイズ</t>
  </si>
  <si>
    <t>新たに報告されたHIV感染者とエイズ患者の合計（件）</t>
  </si>
  <si>
    <t>—</t>
  </si>
  <si>
    <t>梅毒</t>
  </si>
  <si>
    <t>医師が届け出た患者の数（人）</t>
  </si>
  <si>
    <t>はしか（麻しん）</t>
  </si>
  <si>
    <t>結核</t>
  </si>
  <si>
    <t>新たに登録された結核患者の数（人）</t>
  </si>
  <si>
    <t>・最新の確定値が出ている年は病気ごとに違います（HIV/エイズと結核は2025年、梅毒とはしかは2024年）。</t>
  </si>
  <si>
    <t>・「10年前の年」は、最新の確定値の年から数えて10年分の最初の年です。</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</si>
  <si>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</si>
  <si>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</si>
  <si>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</si>
  <si>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</si>
  <si>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</si>
  <si>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</si>
  <si>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</si>
  <si>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</si>
  <si>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</si>
  <si>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区分</t>
  </si>
  <si>
    <t>出典ID</t>
  </si>
  <si>
    <t>確定</t>
  </si>
  <si>
    <t>HIV-4</t>
  </si>
  <si>
    <t>黄色の行は速報値（あとで変わることがあります）。それ以外は確定値。前年比はこの表で計算したもの。</t>
  </si>
  <si>
    <t>2026年の途中経過（速報）</t>
  </si>
  <si>
    <t>指標</t>
  </si>
  <si>
    <t>期間</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</si>
  <si>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</si>
  <si>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</si>
  <si>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</si>
  <si>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</si>
  <si>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</si>
  <si>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</si>
  <si>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</si>
  <si>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</si>
  <si>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</si>
  <si>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</si>
  <si>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</si>
  <si>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</si>
  <si>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</si>
  <si>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</si>
  <si>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</si>
  <si>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</si>
  <si>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</si>
  <si>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</si>
  <si>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</si>
  <si>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</si>
  <si>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</si>
  <si>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</si>
  <si>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</si>
  <si>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</si>
  <si>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</si>
  <si>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</si>
  <si>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</si>
  <si>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</si>
  <si>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</si>
  <si>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</si>
  <si>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</si>
  <si>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</si>
  <si>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</si>
  <si>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</si>
  <si>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</si>
  <si>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</si>
  <si>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</si>
  <si>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</si>
  <si>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</si>
  <si>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</si>
  <si>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</si>
  <si>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</si>
  <si>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</si>
  <si>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</si>
  <si>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</si>
  <si>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</si>
  <si>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</si>
  <si>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</si>
  <si>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</si>
  <si>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</si>
  <si>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</si>
  <si>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</si>
  <si>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</si>
  <si>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</si>
  <si>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</si>
  <si>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その他</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</si>
  <si>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</si>
  <si>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</si>
  <si>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</si>
  <si>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</si>
  <si>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</si>
  <si>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</si>
  <si>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</si>
  <si>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</si>
  <si>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</si>
  <si>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</si>
  <si>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</si>
  <si>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</si>
  <si>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</si>
  <si>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</si>
  <si>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</si>
  <si>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</si>
  <si>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2025年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</si>
  <si>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</si>
  <si>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</si>
  <si>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</si>
  <si>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</si>
  <si>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</si>
  <si>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</si>
  <si>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</si>
  <si>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</si>
  <si>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</si>
  <si>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</si>
  <si>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</si>
  <si>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</si>
  <si>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</si>
  <si>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</si>
  <si>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</si>
  <si>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</si>
  <si>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</si>
  <si>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</si>
  <si>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</si>
  <si>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</si>
  <si>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</si>
  <si>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</si>
  <si>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</si>
  <si>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</si>
  <si>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</si>
  <si>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</si>
  <si>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</si>
  <si>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</si>
  <si>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</si>
  <si>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</si>
  <si>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</si>
  <si>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</si>
  <si>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</si>
  <si>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</si>
  <si>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</si>
  <si>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</si>
  <si>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協力覚書</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</si>
  <si>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</si>
  <si>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</si>
  <si>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</si>
  <si>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</si>
  <si>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</si>
  <si>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</si>
  <si>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</si>
  <si>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</si>
  <si>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</si>
  <si>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</si>
  <si>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</si>
  <si>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</si>
  <si>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</si>
  <si>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</si>
  <si>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地域</t>
  </si>
  <si>
    <t>世界-1</t>
  </si>
  <si>
    <t>東欧・中央アジア</t>
  </si>
  <si>
    <t>日本と協力覚書を結んだ国（2025年、感染している人の多い順）</t>
  </si>
  <si>
    <t>インド</t>
  </si>
  <si>
    <t>国</t>
  </si>
  <si>
    <t>特定技能・技能実習</t>
  </si>
  <si>
    <t>タイ</t>
  </si>
  <si>
    <t>インドネシア</t>
  </si>
  <si>
    <t>パキスタン</t>
  </si>
  <si>
    <t>ミャンマー</t>
  </si>
  <si>
    <t>ベトナム</t>
  </si>
  <si>
    <t>フィリピン</t>
  </si>
  <si>
    <t>マレーシア</t>
  </si>
  <si>
    <t>特定技能</t>
  </si>
  <si>
    <t>カンボジア</t>
  </si>
  <si>
    <t>ウズベキスタン</t>
  </si>
  <si>
    <t>ネパール</t>
  </si>
  <si>
    <t>ラオス</t>
  </si>
  <si>
    <t>&lt;500</t>
  </si>
  <si>
    <t>バングラデシュ</t>
  </si>
  <si>
    <t>&lt;0.1</t>
  </si>
  <si>
    <t>タジキスタン</t>
  </si>
  <si>
    <t>キルギス</t>
  </si>
  <si>
    <t>フィジー</t>
  </si>
  <si>
    <t>技能実習</t>
  </si>
  <si>
    <t>スリランカ</t>
  </si>
  <si>
    <t>&lt;200</t>
  </si>
  <si>
    <t>東ティモール</t>
  </si>
  <si>
    <t>&lt;100</t>
  </si>
  <si>
    <t>ブータン</t>
  </si>
  <si>
    <t>モンゴル</t>
  </si>
  <si>
    <t>「&lt;100」は100人未満、「—」はUNAIDSに数字がないことを表します。増減（2010年比・%）と割合（%）はUNAIDSの資料に書かれた値です。</t>
  </si>
  <si>
    <t>日本の協力覚書（特定技能・技能実習）</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</si>
  <si>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</si>
  <si>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</si>
  <si>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</si>
  <si>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両方の制度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</si>
  <si>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</si>
  <si>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</si>
  <si>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</si>
  <si>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</si>
  <si>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</si>
  <si>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</si>
  <si>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</si>
  <si>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</si>
  <si>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</si>
  <si>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</si>
  <si>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</si>
  <si>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</si>
  <si>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</si>
  <si>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</si>
  <si>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この数字を見るときの注意</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</si>
  <si>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</si>
  <si>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</si>
  <si>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</si>
  <si>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</si>
  <si>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</si>
  <si>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</si>
  <si>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</si>
  <si>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梅毒-1</t>
  </si>
  <si>
    <t>梅毒-8</t>
  </si>
  <si>
    <t>2026年1月〜10月11日（第41週まで）</t>
  </si>
  <si>
    <t>梅毒-5</t>
  </si>
  <si>
    <t>期間のくわしい説明：2026年第41週（〜2026-10-11）まで（2026-10-14集計）</t>
  </si>
  <si>
    <t>男女別（2024年）</t>
  </si>
  <si>
    <t>梅毒-3</t>
  </si>
  <si>
    <t>年代別（2024年）</t>
  </si>
  <si>
    <t>0歳</t>
  </si>
  <si>
    <t>1-4歳</t>
  </si>
  <si>
    <t>5-9歳</t>
  </si>
  <si>
    <t>60-64歳</t>
  </si>
  <si>
    <t>65-69歳</t>
  </si>
  <si>
    <t>70歳以上</t>
  </si>
  <si>
    <t>都道府県別 上位5（2024年、人数の多い順）</t>
  </si>
  <si>
    <t>人数</t>
  </si>
  <si>
    <t>人口10万対</t>
  </si>
  <si>
    <t>資料になし</t>
  </si>
  <si>
    <t>病型別（2024年・確定）</t>
  </si>
  <si>
    <t>早期顕症梅毒Ⅰ期</t>
  </si>
  <si>
    <t>梅毒-2</t>
  </si>
  <si>
    <t>早期顕症梅毒Ⅱ期</t>
  </si>
  <si>
    <t>晩期顕症梅毒</t>
  </si>
  <si>
    <t>無症候（症状のない感染）</t>
  </si>
  <si>
    <t>先天梅毒</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</si>
  <si>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</si>
  <si>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</si>
  <si>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</si>
  <si>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</si>
  <si>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</si>
  <si>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</si>
  <si>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</si>
  <si>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</si>
  <si>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</si>
  <si>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</si>
  <si>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</si>
  <si>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</si>
  <si>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</si>
  <si>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</si>
  <si>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</si>
  <si>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</si>
  <si>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</si>
  <si>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</si>
  <si>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</si>
  <si>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</si>
  <si>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</si>
  <si>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</si>
  <si>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</si>
  <si>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</si>
  <si>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</si>
  <si>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</si>
  <si>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</si>
  <si>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</si>
  <si>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</si>
  <si>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</si>
  <si>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</si>
  <si>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</si>
  <si>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</si>
  <si>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</si>
  <si>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</si>
  <si>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</si>
  <si>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</si>
  <si>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</si>
  <si>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</si>
  <si>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</si>
  <si>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</si>
  <si>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</si>
  <si>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</si>
  <si>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</si>
  <si>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</si>
  <si>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</si>
  <si>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</si>
  <si>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</si>
  <si>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</si>
  <si>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</si>
  <si>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</si>
  <si>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</si>
  <si>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</si>
  <si>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</si>
  <si>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</si>
  <si>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</si>
  <si>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アラブ首長国連邦</t>
  </si>
  <si>
    <t>イギリス</t>
  </si>
  <si>
    <t>イタリア</t>
  </si>
  <si>
    <t>トルコ</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</si>
  <si>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</si>
  <si>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</si>
  <si>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</si>
  <si>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</si>
  <si>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</si>
  <si>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</si>
  <si>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</si>
  <si>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</si>
  <si>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</si>
  <si>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</si>
  <si>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</si>
  <si>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</si>
  <si>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</si>
  <si>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</si>
  <si>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</si>
  <si>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</si>
  <si>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</si>
  <si>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</si>
  <si>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</si>
  <si>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</si>
  <si>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</si>
  <si>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</si>
  <si>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</si>
  <si>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</si>
  <si>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</si>
  <si>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</si>
  <si>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</si>
  <si>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</si>
  <si>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</si>
  <si>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</si>
  <si>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</si>
  <si>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2019年一部改正）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</si>
  <si>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</si>
  <si>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</si>
  <si>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</si>
  <si>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</si>
  <si>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</si>
  <si>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</si>
  <si>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</si>
  <si>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</si>
  <si>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</si>
  <si>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</si>
  <si>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</si>
  <si>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</si>
  <si>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</si>
  <si>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</si>
  <si>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</si>
  <si>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</si>
  <si>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総数</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</si>
  <si>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</si>
  <si>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</si>
  <si>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</si>
  <si>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</si>
  <si>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</si>
  <si>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</si>
  <si>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</si>
  <si>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</si>
  <si>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</si>
  <si>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</si>
  <si>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</si>
  <si>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</si>
  <si>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</si>
  <si>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</si>
  <si>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</si>
  <si>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</si>
  <si>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</si>
  <si>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</si>
  <si>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</si>
  <si>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</si>
  <si>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</si>
  <si>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</si>
  <si>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</si>
  <si>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</si>
  <si>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</si>
  <si>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</si>
  <si>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</si>
  <si>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</si>
  <si>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</si>
  <si>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</si>
  <si>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</si>
  <si>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</si>
  <si>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</si>
  <si>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</si>
  <si>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</si>
  <si>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</si>
  <si>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</si>
  <si>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</si>
  <si>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</si>
  <si>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</si>
  <si>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</si>
  <si>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</si>
  <si>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</si>
  <si>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</si>
  <si>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</si>
  <si>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</si>
  <si>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</si>
  <si>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</si>
  <si>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</si>
  <si>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</si>
  <si>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</si>
  <si>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</si>
  <si>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</si>
  <si>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</si>
  <si>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</si>
  <si>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</si>
  <si>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</si>
  <si>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</si>
  <si>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</si>
  <si>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t>
  </si>
  <si>
    <t>前年比や「10年前と比べて何倍か」などは、資料の数字からこのまとめで計算したものです。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</si>
  <si>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</si>
  <si>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</si>
  <si>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</si>
  <si>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</si>
  <si>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</si>
  <si>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</si>
  <si>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</si>
  <si>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</si>
  <si>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</si>
  <si>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</si>
  <si>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</si>
  <si>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</si>
  <si>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</si>
  <si>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</si>
  <si>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</si>
  <si>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</si>
  <si>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</si>
  <si>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はしか</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</si>
  <si>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</si>
  <si>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</si>
  <si>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</si>
  <si>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</si>
  <si>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</si>
  <si>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</si>
  <si>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</si>
  <si>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</si>
  <si>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</si>
  <si>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出典一覧（国と国連機関の公式資料のみ）</t>
  </si>
  <si>
    <t>各シートの「出典ID」はこの表の番号です。URLはクリックで開けます。確認日は2026年10月26日。</t>
  </si>
  <si>
    <t>資料名</t>
  </si>
  <si>
    <t>発行元</t>
  </si>
  <si>
    <t>URL</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</si>
  <si>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</si>
  <si>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</si>
  <si>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</si>
  <si>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</si>
  <si>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</si>
  <si>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</si>
  <si>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</si>
  <si>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</si>
  <si>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</si>
  <si>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</si>
  <si>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</si>
  <si>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</si>
  <si>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</si>
  <si>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</si>
  <si>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</si>
  <si>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</si>
  <si>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</si>
  <si>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</si>
  <si>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</si>
  <si>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</si>
  <si>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</si>
  <si>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</si>
  <si>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</si>
  <si>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</si>
  <si>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</si>
  <si>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</si>
  <si>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</si>
  <si>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</si>
  <si>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</si>
  <si>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</si>
  <si>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</si>
  <si>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</si>
  <si>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</si>
  <si>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</si>
  <si>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</si>
  <si>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</si>
  <si>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</si>
  <si>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</si>
  <si>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</si>
  <si>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</si>
  <si>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HIV-14</t>
  </si>
  <si>
    <t>HIVとエイズ</t>
  </si>
  <si>
    <t>厚生労働省</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</si>
  <si>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</si>
  <si>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</si>
  <si>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</si>
  <si>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</si>
  <si>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</si>
  <si>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</si>
  <si>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</si>
  <si>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</si>
  <si>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</si>
  <si>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</si>
  <si>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</si>
  <si>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</si>
  <si>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</si>
  <si>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</si>
  <si>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</si>
  <si>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</si>
  <si>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</si>
  <si>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</si>
  <si>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</si>
  <si>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https://www.mhlw.go.jp/topics/2005/04/tp0411-1.html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</si>
  <si>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</si>
  <si>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</si>
  <si>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</si>
  <si>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</si>
  <si>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</si>
  <si>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国立健康危機管理研究機構（JIHS）</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</si>
  <si>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</si>
  <si>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</si>
  <si>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</si>
  <si>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</si>
  <si>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</si>
  <si>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</si>
  <si>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</si>
  <si>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</si>
  <si>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</si>
  <si>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</si>
  <si>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</si>
  <si>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</si>
  <si>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</si>
  <si>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</si>
  <si>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</si>
  <si>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</si>
  <si>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</si>
  <si>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</si>
  <si>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</si>
  <si>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</si>
  <si>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</si>
  <si>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</si>
  <si>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</si>
  <si>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</si>
  <si>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</si>
  <si>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2025-11-10（指針の改正日）</t>
  </si>
  <si>
    <t>梅毒-11</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</si>
  <si>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</si>
  <si>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</si>
  <si>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</si>
  <si>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</si>
  <si>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</si>
  <si>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</si>
  <si>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</si>
  <si>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</si>
  <si>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</si>
  <si>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</si>
  <si>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</si>
  <si>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</si>
  <si>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</si>
  <si>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</si>
  <si>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</si>
  <si>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</si>
  <si>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</si>
  <si>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</si>
  <si>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</si>
  <si>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</si>
  <si>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</si>
  <si>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</si>
  <si>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</si>
  <si>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</si>
  <si>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</si>
  <si>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</si>
  <si>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</si>
  <si>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</si>
  <si>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</si>
  <si>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</si>
  <si>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</si>
  <si>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</si>
  <si>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</si>
  <si>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</si>
  <si>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</si>
  <si>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</si>
  <si>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</si>
  <si>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</si>
  <si>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</si>
  <si>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</si>
  <si>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</si>
  <si>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</si>
  <si>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</si>
  <si>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</si>
  <si>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</si>
  <si>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</si>
  <si>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</si>
  <si>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</si>
  <si>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</si>
  <si>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</si>
  <si>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</si>
  <si>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</si>
  <si>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はしか-15</t>
  </si>
  <si>
    <t>麻しんに関する特定感染症予防指針（平成19年12月28日、平成31年4月19日一部改正・適用）</t>
  </si>
  <si>
    <t>https://www.mhlw.go.jp/content/000503060.pdf</t>
  </si>
  <si>
    <t>2019-04-19（一部改正）</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</si>
  <si>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</si>
  <si>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</si>
  <si>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</si>
  <si>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</si>
  <si>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</si>
  <si>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https://www.mhlw.go.jp/stf/seisakunitsuite/bunya/0000175095_00018.html</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</si>
  <si>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</si>
  <si>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</si>
  <si>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</si>
  <si>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</si>
  <si>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</si>
  <si>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</si>
  <si>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</si>
  <si>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</si>
  <si>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</si>
  <si>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</si>
  <si>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</si>
  <si>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</si>
  <si>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</si>
  <si>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</si>
  <si>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</si>
  <si>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</si>
  <si>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</si>
  <si>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</si>
  <si>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</si>
  <si>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</si>
  <si>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</si>
  <si>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</si>
  <si>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</si>
  <si>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</si>
  <si>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</si>
  <si>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</si>
  <si>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</si>
  <si>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</si>
  <si>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</si>
  <si>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https://www.mhlw.go.jp/stf/seisakunitsuite/bunya/kenkou_iryou/kenkou/kekkaku-kansenshou03/index_00006.html</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</si>
  <si>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</si>
  <si>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</si>
  <si>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</si>
  <si>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</si>
  <si>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</si>
  <si>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</si>
  <si>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</si>
  <si>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</si>
  <si>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国連合同エイズ計画（UNAIDS）</t>
  </si>
  <si>
    <t>https://aidsinfo.unaids.org/</t>
  </si>
  <si>
    <t>2026-07-27（2026年版の推計）</t>
  </si>
  <si>
    <t>Global HIV &amp; AIDS statistics — Fact sheet（2025年の世界の数字）</t>
  </si>
  <si>
    <t>https://www.unaids.org/en/resources/fact-sheet</t>
  </si>
  <si>
    <t>2026-07-27</t>
  </si>
  <si>
    <t>世界-3</t>
  </si>
  <si>
    <t>特定技能に関する二国間の協力覚書</t>
  </si>
  <si>
    <t>出入国在留管理庁</t>
  </si>
  <si>
    <t>https://www.moj.go.jp/isa/applications/ssw/nyuukokukanri05_00021.html</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</si>
  <si>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</si>
  <si>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</si>
  <si>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</si>
  <si>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</si>
  <si>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</si>
  <si>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</si>
  <si>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外国人技能実習機構（OTIT）</t>
  </si>
  <si>
    <t>https://www.otit.go.jp/soushutsu_nikokukan/</t>
  </si>
  <si>
    <t>世界-6</t>
  </si>
  <si>
    <t>入国前結核スクリーニングの実施について Japan Pre-Entry Tuberculosis Screening（JPETS）</t>
  </si>
  <si>
    <t>2026-09-25 更新</t>
  </si>
  <si>
    <t>世界-7</t>
  </si>
  <si>
    <t>JPETS（入国前結核スクリーニング）公式サイト：指定健診医療機関</t>
  </si>
  <si>
    <t>https://jpets.mhlw.go.jp/jp/</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</si>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</sst>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quot;年&quot;"/>
    <numFmt numFmtId="177" formatCode="\+0.0%;\-0.0%;0.0%"/>
    <numFmt numFmtId="178" formatCode="0.000"/>
    <numFmt numFmtId="179" formatCode="0.0"/>
    <numFmt numFmtId="180" formatCode="\+0;\-0;0"/>
    <numFmt numFmtId="181" formatCode="0.0&quot;倍&quot;"/>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5">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36">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xf numFmtId="176" fontId="6" fillId="0" borderId="1" xfId="0" applyNumberFormat="1" applyFont="1" applyBorder="1"/>
    <xf numFmtId="3" fontId="5" fillId="0" borderId="1" xfId="0" applyNumberFormat="1" applyFont="1" applyBorder="1"/>
    <xf numFmtId="3" fontId="6"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3" fillId="0" borderId="0" xfId="0" applyFont="1"/>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0" fontId="6" fillId="0" borderId="1" xfId="0" applyFont="1" applyBorder="1"/>
    <xf numFmtId="1" fontId="6" fillId="0" borderId="1" xfId="0" applyNumberFormat="1" applyFont="1" applyBorder="1"/>
    <xf numFmtId="178" fontId="6" fillId="0" borderId="1" xfId="0" applyNumberFormat="1" applyFont="1" applyBorder="1"/>
    <xf numFmtId="179" fontId="6" fillId="0" borderId="1" xfId="0" applyNumberFormat="1" applyFont="1" applyBorder="1"/>
    <xf numFmtId="0" fontId="6" fillId="0" borderId="0" xfId="0" applyFont="1" applyAlignment="1">
      <alignment vertical="top" wrapText="1"/>
    </xf>
    <xf numFmtId="0" fontId="6" fillId="0" borderId="1" xfId="0" applyFont="1" applyBorder="1" applyAlignment="1">
      <alignment horizontal="left" wrapText="1"/>
    </xf>
    <xf numFmtId="0" fontId="2" fillId="0" borderId="1" xfId="0" applyFont="1" applyBorder="1" applyAlignment="1">
      <alignment horizontal="right"/>
    </xf>
    <xf numFmtId="180" fontId="6" fillId="0" borderId="1" xfId="0" applyNumberFormat="1" applyFont="1" applyBorder="1"/>
    <xf numFmtId="0" fontId="6" fillId="0" borderId="1" xfId="0" applyFont="1" applyBorder="1" applyAlignment="1">
      <alignment horizontal="right" wrapText="1"/>
    </xf>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0" fontId="6" fillId="0" borderId="0" xfId="0" applyFont="1" applyAlignment="1">
      <alignment horizontal="center" vertical="top"/>
    </xf>
    <xf numFmtId="0" fontId="7" fillId="0" borderId="1" xfId="0" applyFont="1" applyBorder="1" applyAlignment="1">
      <alignment vertical="top" wrapText="1"/>
    </xf>
    <xf numFmtId="0" fontId="2" fillId="0" borderId="0" xfId="0" applyFont="1" applyAlignment="1">
      <alignment vertical="top" wrapText="1"/>
    </xf>
    <xf numFmtId="0" fontId="0" fillId="0" borderId="0" xfId="0"/>
    <xf numFmtId="0" fontId="6" fillId="0" borderId="0" xfId="0" applyFont="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6" Type="http://schemas.openxmlformats.org/officeDocument/2006/relationships/hyperlink" Target="https://www.mhlw.go.jp/stf/seisakunitsuite/bunya/kenkou_iryou/kenkou/kekkaku-kansenshou/seikansenshou/syphilis.html"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47" Type="http://schemas.openxmlformats.org/officeDocument/2006/relationships/hyperlink" Target="https://www.mhlw.go.jp/stf/seisakunitsuite/bunya/0000175095_00018.html" TargetMode="External"/><Relationship Id="rId63" Type="http://schemas.openxmlformats.org/officeDocument/2006/relationships/hyperlink" Target="https://www.otit.go.jp/soushutsu_nikokukan/" TargetMode="External"/><Relationship Id="rId68" Type="http://schemas.openxmlformats.org/officeDocument/2006/relationships/hyperlink" Target="https://www.iom.int/resources/hiv-aids-and-population-mobility" TargetMode="External"/><Relationship Id="rId7" Type="http://schemas.openxmlformats.org/officeDocument/2006/relationships/hyperlink" Target="https://api-net.jfap.or.jp/status/japan/data/2025/nenpo/hyo-104.pdf" TargetMode="External"/><Relationship Id="rId2" Type="http://schemas.openxmlformats.org/officeDocument/2006/relationships/hyperlink" Target="https://api-net.jfap.or.jp/status/japan/data/2025/nenpo/r07gaiyo.pdf" TargetMode="External"/><Relationship Id="rId16" Type="http://schemas.openxmlformats.org/officeDocument/2006/relationships/hyperlink" Target="https://www.mhlw.go.jp/content/001593106.pdf" TargetMode="External"/><Relationship Id="rId29" Type="http://schemas.openxmlformats.org/officeDocument/2006/relationships/hyperlink" Target="https://www.mhlw.go.jp/stf/seisakunitsuite/bunya/kenkou_iryou/syphilis_qa.html" TargetMode="External"/><Relationship Id="rId11" Type="http://schemas.openxmlformats.org/officeDocument/2006/relationships/hyperlink" Target="https://api-net.jfap.or.jp/status/japan/data/2026/2609/20260916.xlsx" TargetMode="External"/><Relationship Id="rId24" Type="http://schemas.openxmlformats.org/officeDocument/2006/relationships/hyperlink" Target="https://id-info.jihs.go.jp/surveillance/idwr/idwr/2025/idwr2025-41.pdf" TargetMode="External"/><Relationship Id="rId32" Type="http://schemas.openxmlformats.org/officeDocument/2006/relationships/hyperlink" Target="https://id-info.jihs.go.jp/surveillance/idwr/annual/2024/syulist/Syu_04_1.xlsx" TargetMode="External"/><Relationship Id="rId37" Type="http://schemas.openxmlformats.org/officeDocument/2006/relationships/hyperlink" Target="https://id-info.jihs.go.jp/surveillance/idwr/diseases/measles/graph/2026/meas26-41.pdf" TargetMode="External"/><Relationship Id="rId40" Type="http://schemas.openxmlformats.org/officeDocument/2006/relationships/hyperlink" Target="https://id-info.jihs.go.jp/immunization/statistics/coverage/routine-immunization-mr/2024/index.html" TargetMode="External"/><Relationship Id="rId45" Type="http://schemas.openxmlformats.org/officeDocument/2006/relationships/hyperlink" Target="https://www.mhlw.go.jp/content/000503060.pdf" TargetMode="External"/><Relationship Id="rId53" Type="http://schemas.openxmlformats.org/officeDocument/2006/relationships/hyperlink" Target="https://www.mhlw.go.jp/content/10900000/001758610.pdf" TargetMode="External"/><Relationship Id="rId58" Type="http://schemas.openxmlformats.org/officeDocument/2006/relationships/hyperlink" Target="https://www.mhlw.go.jp/bunya/kenkou/kekkaku-kansenshou11/01-02-02.html" TargetMode="External"/><Relationship Id="rId66" Type="http://schemas.openxmlformats.org/officeDocument/2006/relationships/hyperlink" Target="https://japan.iom.int/japan_human_mobility" TargetMode="External"/><Relationship Id="rId5" Type="http://schemas.openxmlformats.org/officeDocument/2006/relationships/hyperlink" Target="https://api-net.jfap.or.jp/status/japan/data/2025/nenpo/hyo-061.pdf" TargetMode="External"/><Relationship Id="rId61" Type="http://schemas.openxmlformats.org/officeDocument/2006/relationships/hyperlink" Target="https://www.moj.go.jp/isa/applications/ssw/nyuukokukanri05_00021.html" TargetMode="External"/><Relationship Id="rId19" Type="http://schemas.openxmlformats.org/officeDocument/2006/relationships/hyperlink" Target="https://www.mhlw.go.jp/content/10900000/001678695.xlsx" TargetMode="External"/><Relationship Id="rId14" Type="http://schemas.openxmlformats.org/officeDocument/2006/relationships/hyperlink" Target="https://www.mhlw.go.jp/stf/seisakunitsuite/bunya/kenkou_iryou/kenkou/kekkaku-kansenshou/aids/index.html" TargetMode="External"/><Relationship Id="rId22" Type="http://schemas.openxmlformats.org/officeDocument/2006/relationships/hyperlink" Target="https://id-info.jihs.go.jp/surveillance/idwr/idwr/2024/year-data/05/index.html" TargetMode="External"/><Relationship Id="rId27" Type="http://schemas.openxmlformats.org/officeDocument/2006/relationships/hyperlink" Target="https://id-info.jihs.go.jp/surveillance/idss/target-diseases/syphilis/notification/syphilis2026q3.pdf"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43" Type="http://schemas.openxmlformats.org/officeDocument/2006/relationships/hyperlink" Target="https://id-info.jihs.go.jp/surveillance/idwr/featured/2026/20/index.html" TargetMode="External"/><Relationship Id="rId48" Type="http://schemas.openxmlformats.org/officeDocument/2006/relationships/hyperlink" Target="https://www.mhlw.go.jp/toukei/saikin/hw/jinkou/kakutei25/dl/05_gaikyouR07.pdf" TargetMode="External"/><Relationship Id="rId56" Type="http://schemas.openxmlformats.org/officeDocument/2006/relationships/hyperlink" Target="https://www.mhlw.go.jp/stf/seisakunitsuite/bunya/kenkou_iryou/kenkou/kekkaku-kansenshou03/index_00006.html" TargetMode="External"/><Relationship Id="rId64" Type="http://schemas.openxmlformats.org/officeDocument/2006/relationships/hyperlink" Target="https://www.mhlw.go.jp/stf/seisakunitsuite/bunya/kenkou_iryou/kenkou/kekkaku-kansenshou03/index_00006.html" TargetMode="External"/><Relationship Id="rId69" Type="http://schemas.openxmlformats.org/officeDocument/2006/relationships/hyperlink" Target="https://www.iom.int/news/live-life-positively-let-migrants-know-their-hiv-status"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3" Type="http://schemas.openxmlformats.org/officeDocument/2006/relationships/hyperlink" Target="https://api-net.jfap.or.jp/status/japan/data/2025/nenpo/hyo-01.pdf" TargetMode="External"/><Relationship Id="rId12" Type="http://schemas.openxmlformats.org/officeDocument/2006/relationships/hyperlink" Target="https://api-net.jfap.or.jp/status/japan/data/2026/2603/20260326_coment.pdf" TargetMode="External"/><Relationship Id="rId17" Type="http://schemas.openxmlformats.org/officeDocument/2006/relationships/hyperlink" Target="https://www.mhlw.go.jp/content/10906000/001534119.pdf" TargetMode="External"/><Relationship Id="rId25" Type="http://schemas.openxmlformats.org/officeDocument/2006/relationships/hyperlink" Target="https://id-info.jihs.go.jp/surveillance/idwr/idwr/2025/idwr2025-52.pdf" TargetMode="External"/><Relationship Id="rId33" Type="http://schemas.openxmlformats.org/officeDocument/2006/relationships/hyperlink" Target="https://id-info.jihs.go.jp/surveillance/idwr/annual/2024/syulist/Syu_07_1.xlsx" TargetMode="External"/><Relationship Id="rId38" Type="http://schemas.openxmlformats.org/officeDocument/2006/relationships/hyperlink" Target="https://id-info.jihs.go.jp/surveillance/idwr/diseases/measles/graph/2025/meas25-41.pdf" TargetMode="External"/><Relationship Id="rId46" Type="http://schemas.openxmlformats.org/officeDocument/2006/relationships/hyperlink" Target="https://www.mhlw.go.jp/content/10900000/001755866.pdf" TargetMode="External"/><Relationship Id="rId59" Type="http://schemas.openxmlformats.org/officeDocument/2006/relationships/hyperlink" Target="https://aidsinfo.unaids.org/" TargetMode="External"/><Relationship Id="rId67" Type="http://schemas.openxmlformats.org/officeDocument/2006/relationships/hyperlink" Target="https://japan.iom.int/news/dg-signed-moc-with-isa"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54" Type="http://schemas.openxmlformats.org/officeDocument/2006/relationships/hyperlink" Target="https://www.mhlw.go.jp/content/10900000/001758611.pdf" TargetMode="External"/><Relationship Id="rId62" Type="http://schemas.openxmlformats.org/officeDocument/2006/relationships/hyperlink" Target="https://www.moj.go.jp/isa/10_00200.html" TargetMode="External"/><Relationship Id="rId70" Type="http://schemas.openxmlformats.org/officeDocument/2006/relationships/hyperlink" Target="https://www.unaids.org/en/resources/presscentre/pressreleaseandstatementarchive/2021/october/new-zealand-lift-travel-restrictions-hiv" TargetMode="External"/><Relationship Id="rId1" Type="http://schemas.openxmlformats.org/officeDocument/2006/relationships/hyperlink" Target="https://api-net.jfap.or.jp/status/japan/data/2026/2609/20260916_coment_kak.pdf" TargetMode="External"/><Relationship Id="rId6" Type="http://schemas.openxmlformats.org/officeDocument/2006/relationships/hyperlink" Target="https://api-net.jfap.or.jp/status/japan/data/2025/nenpo/hyo-101.pdf" TargetMode="External"/><Relationship Id="rId15" Type="http://schemas.openxmlformats.org/officeDocument/2006/relationships/hyperlink" Target="https://www.mhlw.go.jp/content/001593105.pdf" TargetMode="External"/><Relationship Id="rId23" Type="http://schemas.openxmlformats.org/officeDocument/2006/relationships/hyperlink" Target="https://id-info.jihs.go.jp/surveillance/idwr/idwr/2026/idwr2026-41.pdf" TargetMode="External"/><Relationship Id="rId28" Type="http://schemas.openxmlformats.org/officeDocument/2006/relationships/hyperlink" Target="https://www.mhlw.go.jp/content/10900000/001595214.pdf" TargetMode="External"/><Relationship Id="rId36" Type="http://schemas.openxmlformats.org/officeDocument/2006/relationships/hyperlink" Target="https://id-info.jihs.go.jp/surveillance/idwr/diseases/measles/graph/2025/meas25-52.pdf" TargetMode="External"/><Relationship Id="rId49" Type="http://schemas.openxmlformats.org/officeDocument/2006/relationships/hyperlink" Target="https://id-info.jihs.go.jp/surveillance/idwr/provisional/2026/41/2026-41-zensu.csv" TargetMode="External"/><Relationship Id="rId57" Type="http://schemas.openxmlformats.org/officeDocument/2006/relationships/hyperlink" Target="https://id-info.jihs.go.jp/surveillance/idwr/idwr/2024/year-data/01-03/index.html"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44" Type="http://schemas.openxmlformats.org/officeDocument/2006/relationships/hyperlink" Target="https://www.mhlw.go.jp/seisakunitsuite/bunya/kenkou_iryou/kenkou/kekkaku-kansenshou/measles/" TargetMode="External"/><Relationship Id="rId52" Type="http://schemas.openxmlformats.org/officeDocument/2006/relationships/hyperlink" Target="https://www.mhlw.go.jp/stf/seisakunitsuite/bunya/kenkou_iryou/kenkou/kekkaku-kansenshou03/index.html" TargetMode="External"/><Relationship Id="rId60" Type="http://schemas.openxmlformats.org/officeDocument/2006/relationships/hyperlink" Target="https://www.unaids.org/en/resources/fact-sheet" TargetMode="External"/><Relationship Id="rId65" Type="http://schemas.openxmlformats.org/officeDocument/2006/relationships/hyperlink" Target="https://jpets.mhlw.go.jp/jp/"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3" Type="http://schemas.openxmlformats.org/officeDocument/2006/relationships/hyperlink" Target="https://api-net.jfap.or.jp/status/japan/data/2025/2503/20250328_coment.pdf"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34" Type="http://schemas.openxmlformats.org/officeDocument/2006/relationships/hyperlink" Target="https://id-info.jihs.go.jp/surveillance/iasr/pathogens/vol46/545/Vol46-7_no545.pdf" TargetMode="External"/><Relationship Id="rId50" Type="http://schemas.openxmlformats.org/officeDocument/2006/relationships/hyperlink" Target="https://id-info.jihs.go.jp/surveillance/idwr/provisional/2025/41/2025-41-zensu.csv" TargetMode="External"/><Relationship Id="rId55" Type="http://schemas.openxmlformats.org/officeDocument/2006/relationships/hyperlink" Target="https://www.mhlw.go.jp/stf/seisakunitsuite/bunya/kenkou_iryou/kenkou/kekkaku-kansenshou/yobou-sesshu/vaccine/bcg/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19.95" customHeight="1" x14ac:dyDescent="0.2">
      <c r="A3" s="2" t="s">
        <v>1</v>
      </c>
      <c r="B3" s="3" t="s">
        <v>2</v>
      </c>
    </row>
    <row r="4" spans="1:2" ht="19.95" customHeight="1" x14ac:dyDescent="0.2">
      <c r="A4" s="2" t="s">
        <v>3</v>
      </c>
      <c r="B4" s="3" t="s">
        <v>4</v>
      </c>
    </row>
    <row r="5" spans="1:2" ht="48" customHeight="1" x14ac:dyDescent="0.2">
      <c r="A5" s="2" t="s">
        <v>5</v>
      </c>
      <c r="B5" s="3" t="s">
        <v>6</v>
      </c>
    </row>
    <row r="6" spans="1:2" ht="112.05"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17</v>
      </c>
    </row>
    <row r="2" spans="1:14" ht="18" customHeight="1" x14ac:dyDescent="0.2">
      <c r="A2" s="33" t="s">
        <v>18</v>
      </c>
      <c r="B2" s="34"/>
      <c r="C2" s="34"/>
      <c r="D2" s="34"/>
      <c r="E2" s="34"/>
      <c r="F2" s="34"/>
      <c r="G2" s="34"/>
      <c r="H2" s="34"/>
      <c r="I2" s="34"/>
      <c r="J2" s="34"/>
      <c r="K2" s="34"/>
      <c r="L2" s="34"/>
      <c r="M2" s="34"/>
      <c r="N2" s="34"/>
    </row>
    <row r="4" spans="1:14" ht="30" customHeight="1" x14ac:dyDescent="0.2">
      <c r="A4" s="4" t="s">
        <v>19</v>
      </c>
      <c r="B4" s="4" t="s">
        <v>20</v>
      </c>
      <c r="C4" s="4" t="s">
        <v>21</v>
      </c>
      <c r="D4" s="4" t="s">
        <v>22</v>
      </c>
      <c r="E4" s="4" t="s">
        <v>23</v>
      </c>
      <c r="F4" s="4" t="s">
        <v>24</v>
      </c>
      <c r="G4" s="4" t="s">
        <v>25</v>
      </c>
      <c r="H4" s="4" t="s">
        <v>26</v>
      </c>
      <c r="I4" s="4" t="s">
        <v>27</v>
      </c>
      <c r="J4" s="4" t="s">
        <v>28</v>
      </c>
      <c r="K4" s="4" t="s">
        <v>29</v>
      </c>
      <c r="L4" s="4" t="s">
        <v>30</v>
      </c>
      <c r="M4" s="4" t="s">
        <v>31</v>
      </c>
      <c r="N4" s="4" t="s">
        <v>32</v>
      </c>
    </row>
    <row r="5" spans="1:14" ht="36" customHeight="1" x14ac:dyDescent="0.45">
      <c r="A5" s="5" t="s">
        <v>33</v>
      </c>
      <c r="B5" s="3" t="s">
        <v>34</v>
      </c>
      <c r="C5" s="6">
        <f>HIV・エイズ!A15</f>
        <v>2025</v>
      </c>
      <c r="D5" s="7">
        <f>HIV・エイズ!D15</f>
        <v>890</v>
      </c>
      <c r="E5" s="8">
        <f>HIV・エイズ!D14</f>
        <v>994</v>
      </c>
      <c r="F5" s="9">
        <f>D5/E5-1</f>
        <v>-0.1046277665995976</v>
      </c>
      <c r="G5" s="6">
        <f>HIV・エイズ!A6</f>
        <v>2016</v>
      </c>
      <c r="H5" s="8">
        <f>HIV・エイズ!D6</f>
        <v>1448</v>
      </c>
      <c r="I5" s="10">
        <f>D5/H5</f>
        <v>0.61464088397790051</v>
      </c>
      <c r="J5" s="11" t="s">
        <v>35</v>
      </c>
      <c r="K5" s="3" t="str">
        <f>HIV・エイズ!B22</f>
        <v>2026年1〜6月ごろ（第1・第2四半期）</v>
      </c>
      <c r="L5" s="12">
        <f>HIV・エイズ!C22</f>
        <v>477</v>
      </c>
      <c r="M5" s="12">
        <f>HIV・エイズ!D22</f>
        <v>423</v>
      </c>
      <c r="N5" s="13">
        <f>L5/M5-1</f>
        <v>0.12765957446808507</v>
      </c>
    </row>
    <row r="6" spans="1:14" ht="36" customHeight="1" x14ac:dyDescent="0.45">
      <c r="A6" s="5" t="s">
        <v>36</v>
      </c>
      <c r="B6" s="3" t="s">
        <v>37</v>
      </c>
      <c r="C6" s="6">
        <f>梅毒!A15</f>
        <v>2024</v>
      </c>
      <c r="D6" s="7">
        <f>梅毒!B15</f>
        <v>14829</v>
      </c>
      <c r="E6" s="8">
        <f>梅毒!B14</f>
        <v>15055</v>
      </c>
      <c r="F6" s="9">
        <f>D6/E6-1</f>
        <v>-1.501162404516776E-2</v>
      </c>
      <c r="G6" s="6">
        <f>梅毒!A6</f>
        <v>2015</v>
      </c>
      <c r="H6" s="8">
        <f>梅毒!B6</f>
        <v>2690</v>
      </c>
      <c r="I6" s="10">
        <f>D6/H6</f>
        <v>5.5126394052044612</v>
      </c>
      <c r="J6" s="12">
        <f>梅毒!B16</f>
        <v>13530</v>
      </c>
      <c r="K6" s="3" t="str">
        <f>梅毒!B21</f>
        <v>2026年1月〜10月11日（第41週まで）</v>
      </c>
      <c r="L6" s="12">
        <f>梅毒!C21</f>
        <v>8942</v>
      </c>
      <c r="M6" s="12">
        <f>梅毒!D21</f>
        <v>10985</v>
      </c>
      <c r="N6" s="13">
        <f>L6/M6-1</f>
        <v>-0.18598088302230309</v>
      </c>
    </row>
    <row r="7" spans="1:14" ht="36" customHeight="1" x14ac:dyDescent="0.45">
      <c r="A7" s="5" t="s">
        <v>38</v>
      </c>
      <c r="B7" s="3" t="s">
        <v>37</v>
      </c>
      <c r="C7" s="6">
        <f>はしか!A15</f>
        <v>2024</v>
      </c>
      <c r="D7" s="7">
        <f>はしか!B15</f>
        <v>45</v>
      </c>
      <c r="E7" s="8">
        <f>はしか!B14</f>
        <v>28</v>
      </c>
      <c r="F7" s="9">
        <f>D7/E7-1</f>
        <v>0.60714285714285721</v>
      </c>
      <c r="G7" s="6">
        <f>はしか!A6</f>
        <v>2015</v>
      </c>
      <c r="H7" s="8">
        <f>はしか!B6</f>
        <v>35</v>
      </c>
      <c r="I7" s="10">
        <f>D7/H7</f>
        <v>1.2857142857142858</v>
      </c>
      <c r="J7" s="12">
        <f>はしか!B16</f>
        <v>265</v>
      </c>
      <c r="K7" s="3" t="str">
        <f>はしか!B21</f>
        <v>2026年1月〜10月11日（第41週まで）</v>
      </c>
      <c r="L7" s="12">
        <f>はしか!C21</f>
        <v>579</v>
      </c>
      <c r="M7" s="12">
        <f>はしか!D21</f>
        <v>231</v>
      </c>
      <c r="N7" s="13">
        <f>L7/M7-1</f>
        <v>1.5064935064935066</v>
      </c>
    </row>
    <row r="8" spans="1:14" ht="36" customHeight="1" x14ac:dyDescent="0.45">
      <c r="A8" s="5" t="s">
        <v>39</v>
      </c>
      <c r="B8" s="3" t="s">
        <v>40</v>
      </c>
      <c r="C8" s="6">
        <f>結核!A15</f>
        <v>2025</v>
      </c>
      <c r="D8" s="7">
        <f>結核!B15</f>
        <v>9899</v>
      </c>
      <c r="E8" s="8">
        <f>結核!B14</f>
        <v>10051</v>
      </c>
      <c r="F8" s="9">
        <f>D8/E8-1</f>
        <v>-1.5122873345935761E-2</v>
      </c>
      <c r="G8" s="6">
        <f>結核!A6</f>
        <v>2016</v>
      </c>
      <c r="H8" s="8">
        <f>結核!B6</f>
        <v>17625</v>
      </c>
      <c r="I8" s="10">
        <f>D8/H8</f>
        <v>0.56164539007092196</v>
      </c>
      <c r="J8" s="11" t="s">
        <v>35</v>
      </c>
      <c r="K8" s="3" t="str">
        <f>結核!B20</f>
        <v>2026年1月〜10月11日（第41週まで）</v>
      </c>
      <c r="L8" s="12">
        <f>結核!C20</f>
        <v>11543</v>
      </c>
      <c r="M8" s="12">
        <f>結核!D20</f>
        <v>11145</v>
      </c>
      <c r="N8" s="13">
        <f>L8/M8-1</f>
        <v>3.5711081202332906E-2</v>
      </c>
    </row>
    <row r="10" spans="1:14" ht="18" customHeight="1" x14ac:dyDescent="0.2">
      <c r="A10" s="33" t="s">
        <v>41</v>
      </c>
      <c r="B10" s="34"/>
      <c r="C10" s="34"/>
      <c r="D10" s="34"/>
      <c r="E10" s="34"/>
      <c r="F10" s="34"/>
      <c r="G10" s="34"/>
      <c r="H10" s="34"/>
      <c r="I10" s="34"/>
      <c r="J10" s="34"/>
      <c r="K10" s="34"/>
      <c r="L10" s="34"/>
      <c r="M10" s="34"/>
      <c r="N10" s="34"/>
    </row>
    <row r="11" spans="1:14" ht="18" customHeight="1" x14ac:dyDescent="0.2">
      <c r="A11" s="33" t="s">
        <v>42</v>
      </c>
      <c r="B11" s="34"/>
      <c r="C11" s="34"/>
      <c r="D11" s="34"/>
      <c r="E11" s="34"/>
      <c r="F11" s="34"/>
      <c r="G11" s="34"/>
      <c r="H11" s="34"/>
      <c r="I11" s="34"/>
      <c r="J11" s="34"/>
      <c r="K11" s="34"/>
      <c r="L11" s="34"/>
      <c r="M11" s="34"/>
      <c r="N11" s="34"/>
    </row>
    <row r="12" spans="1:14" ht="18" customHeight="1" x14ac:dyDescent="0.2">
      <c r="A12" s="33" t="s">
        <v>43</v>
      </c>
      <c r="B12" s="34"/>
      <c r="C12" s="34"/>
      <c r="D12" s="34"/>
      <c r="E12" s="34"/>
      <c r="F12" s="34"/>
      <c r="G12" s="34"/>
      <c r="H12" s="34"/>
      <c r="I12" s="34"/>
      <c r="J12" s="34"/>
      <c r="K12" s="34"/>
      <c r="L12" s="34"/>
      <c r="M12" s="34"/>
      <c r="N12" s="34"/>
    </row>
    <row r="13" spans="1:14" ht="18" customHeight="1" x14ac:dyDescent="0.2">
      <c r="A13" s="33" t="s">
        <v>44</v>
      </c>
      <c r="B13" s="34"/>
      <c r="C13" s="34"/>
      <c r="D13" s="34"/>
      <c r="E13" s="34"/>
      <c r="F13" s="34"/>
      <c r="G13" s="34"/>
      <c r="H13" s="34"/>
      <c r="I13" s="34"/>
      <c r="J13" s="34"/>
      <c r="K13" s="34"/>
      <c r="L13" s="34"/>
      <c r="M13" s="34"/>
      <c r="N13" s="34"/>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135"/>
  <sheetViews>
    <sheetView showGridLines="0" workbookViewId="0"/>
  </sheetViews>
  <sheetFormatPr defaultRowHeight="13.2" x14ac:dyDescent="0.2"/>
  <cols>
    <col min="1" max="1" width="40" customWidth="1"/>
    <col min="2" max="11" width="15" customWidth="1"/>
  </cols>
  <sheetData>
    <row r="1" spans="1:9" ht="25.95" customHeight="1" x14ac:dyDescent="0.6">
      <c r="A1" s="1" t="s">
        <v>33</v>
      </c>
    </row>
    <row r="2" spans="1:9" ht="64.05" customHeight="1" x14ac:dyDescent="0.2">
      <c r="A2" s="33" t="s">
        <v>45</v>
      </c>
      <c r="B2" s="34"/>
      <c r="C2" s="34"/>
      <c r="D2" s="34"/>
      <c r="E2" s="34"/>
      <c r="F2" s="34"/>
      <c r="G2" s="34"/>
      <c r="H2" s="34"/>
      <c r="I2" s="34"/>
    </row>
    <row r="4" spans="1:9" ht="22.05" customHeight="1" x14ac:dyDescent="0.5">
      <c r="A4" s="14" t="s">
        <v>46</v>
      </c>
    </row>
    <row r="5" spans="1:9" ht="30" customHeight="1" x14ac:dyDescent="0.2">
      <c r="A5" s="4" t="s">
        <v>47</v>
      </c>
      <c r="B5" s="4" t="s">
        <v>48</v>
      </c>
      <c r="C5" s="4" t="s">
        <v>49</v>
      </c>
      <c r="D5" s="4" t="s">
        <v>50</v>
      </c>
      <c r="E5" s="4" t="s">
        <v>51</v>
      </c>
      <c r="F5" s="4" t="s">
        <v>52</v>
      </c>
      <c r="G5" s="4" t="s">
        <v>53</v>
      </c>
    </row>
    <row r="6" spans="1:9" ht="18" x14ac:dyDescent="0.45">
      <c r="A6" s="15">
        <v>2016</v>
      </c>
      <c r="B6" s="8">
        <v>1011</v>
      </c>
      <c r="C6" s="8">
        <v>437</v>
      </c>
      <c r="D6" s="8">
        <f t="shared" ref="D6:D15" si="0">B6+C6</f>
        <v>1448</v>
      </c>
      <c r="E6" s="16" t="s">
        <v>35</v>
      </c>
      <c r="F6" s="17" t="s">
        <v>54</v>
      </c>
      <c r="G6" s="18" t="s">
        <v>55</v>
      </c>
    </row>
    <row r="7" spans="1:9" ht="18" x14ac:dyDescent="0.45">
      <c r="A7" s="15">
        <v>2017</v>
      </c>
      <c r="B7" s="8">
        <v>976</v>
      </c>
      <c r="C7" s="8">
        <v>413</v>
      </c>
      <c r="D7" s="8">
        <f t="shared" si="0"/>
        <v>1389</v>
      </c>
      <c r="E7" s="16">
        <f t="shared" ref="E7:E15" si="1">IF(D6="","",D7/D6-1)</f>
        <v>-4.0745856353591181E-2</v>
      </c>
      <c r="F7" s="17" t="s">
        <v>54</v>
      </c>
      <c r="G7" s="18" t="s">
        <v>55</v>
      </c>
    </row>
    <row r="8" spans="1:9" ht="18" x14ac:dyDescent="0.45">
      <c r="A8" s="15">
        <v>2018</v>
      </c>
      <c r="B8" s="8">
        <v>940</v>
      </c>
      <c r="C8" s="8">
        <v>377</v>
      </c>
      <c r="D8" s="8">
        <f t="shared" si="0"/>
        <v>1317</v>
      </c>
      <c r="E8" s="16">
        <f t="shared" si="1"/>
        <v>-5.1835853131749432E-2</v>
      </c>
      <c r="F8" s="17" t="s">
        <v>54</v>
      </c>
      <c r="G8" s="18" t="s">
        <v>55</v>
      </c>
    </row>
    <row r="9" spans="1:9" ht="18" x14ac:dyDescent="0.45">
      <c r="A9" s="15">
        <v>2019</v>
      </c>
      <c r="B9" s="8">
        <v>903</v>
      </c>
      <c r="C9" s="8">
        <v>333</v>
      </c>
      <c r="D9" s="8">
        <f t="shared" si="0"/>
        <v>1236</v>
      </c>
      <c r="E9" s="16">
        <f t="shared" si="1"/>
        <v>-6.1503416856492077E-2</v>
      </c>
      <c r="F9" s="17" t="s">
        <v>54</v>
      </c>
      <c r="G9" s="18" t="s">
        <v>55</v>
      </c>
    </row>
    <row r="10" spans="1:9" ht="18" x14ac:dyDescent="0.45">
      <c r="A10" s="15">
        <v>2020</v>
      </c>
      <c r="B10" s="8">
        <v>750</v>
      </c>
      <c r="C10" s="8">
        <v>345</v>
      </c>
      <c r="D10" s="8">
        <f t="shared" si="0"/>
        <v>1095</v>
      </c>
      <c r="E10" s="16">
        <f t="shared" si="1"/>
        <v>-0.11407766990291257</v>
      </c>
      <c r="F10" s="17" t="s">
        <v>54</v>
      </c>
      <c r="G10" s="18" t="s">
        <v>55</v>
      </c>
    </row>
    <row r="11" spans="1:9" ht="18" x14ac:dyDescent="0.45">
      <c r="A11" s="15">
        <v>2021</v>
      </c>
      <c r="B11" s="8">
        <v>742</v>
      </c>
      <c r="C11" s="8">
        <v>315</v>
      </c>
      <c r="D11" s="8">
        <f t="shared" si="0"/>
        <v>1057</v>
      </c>
      <c r="E11" s="16">
        <f t="shared" si="1"/>
        <v>-3.4703196347032006E-2</v>
      </c>
      <c r="F11" s="17" t="s">
        <v>54</v>
      </c>
      <c r="G11" s="18" t="s">
        <v>55</v>
      </c>
    </row>
    <row r="12" spans="1:9" ht="18" x14ac:dyDescent="0.45">
      <c r="A12" s="15">
        <v>2022</v>
      </c>
      <c r="B12" s="8">
        <v>632</v>
      </c>
      <c r="C12" s="8">
        <v>252</v>
      </c>
      <c r="D12" s="8">
        <f t="shared" si="0"/>
        <v>884</v>
      </c>
      <c r="E12" s="16">
        <f t="shared" si="1"/>
        <v>-0.16367076631977295</v>
      </c>
      <c r="F12" s="17" t="s">
        <v>54</v>
      </c>
      <c r="G12" s="18" t="s">
        <v>55</v>
      </c>
    </row>
    <row r="13" spans="1:9" ht="18" x14ac:dyDescent="0.45">
      <c r="A13" s="15">
        <v>2023</v>
      </c>
      <c r="B13" s="8">
        <v>669</v>
      </c>
      <c r="C13" s="8">
        <v>291</v>
      </c>
      <c r="D13" s="8">
        <f t="shared" si="0"/>
        <v>960</v>
      </c>
      <c r="E13" s="16">
        <f t="shared" si="1"/>
        <v>8.5972850678732948E-2</v>
      </c>
      <c r="F13" s="17" t="s">
        <v>54</v>
      </c>
      <c r="G13" s="18" t="s">
        <v>55</v>
      </c>
    </row>
    <row r="14" spans="1:9" ht="18" x14ac:dyDescent="0.45">
      <c r="A14" s="15">
        <v>2024</v>
      </c>
      <c r="B14" s="8">
        <v>662</v>
      </c>
      <c r="C14" s="8">
        <v>332</v>
      </c>
      <c r="D14" s="8">
        <f t="shared" si="0"/>
        <v>994</v>
      </c>
      <c r="E14" s="16">
        <f t="shared" si="1"/>
        <v>3.5416666666666652E-2</v>
      </c>
      <c r="F14" s="17" t="s">
        <v>54</v>
      </c>
      <c r="G14" s="18" t="s">
        <v>55</v>
      </c>
    </row>
    <row r="15" spans="1:9" ht="18" x14ac:dyDescent="0.45">
      <c r="A15" s="15">
        <v>2025</v>
      </c>
      <c r="B15" s="8">
        <v>624</v>
      </c>
      <c r="C15" s="8">
        <v>266</v>
      </c>
      <c r="D15" s="8">
        <f t="shared" si="0"/>
        <v>890</v>
      </c>
      <c r="E15" s="16">
        <f t="shared" si="1"/>
        <v>-0.1046277665995976</v>
      </c>
      <c r="F15" s="17" t="s">
        <v>54</v>
      </c>
      <c r="G15" s="18" t="s">
        <v>55</v>
      </c>
    </row>
    <row r="16" spans="1:9" ht="18" customHeight="1" x14ac:dyDescent="0.2">
      <c r="A16" s="33" t="s">
        <v>56</v>
      </c>
      <c r="B16" s="34"/>
      <c r="C16" s="34"/>
      <c r="D16" s="34"/>
      <c r="E16" s="34"/>
      <c r="F16" s="34"/>
      <c r="G16" s="34"/>
      <c r="H16" s="34"/>
      <c r="I16" s="34"/>
    </row>
    <row r="18" spans="1:9" ht="22.05" customHeight="1" x14ac:dyDescent="0.5">
      <c r="A18" s="14" t="s">
        <v>57</v>
      </c>
    </row>
    <row r="19" spans="1:9" ht="30" customHeight="1" x14ac:dyDescent="0.2">
      <c r="A19" s="4" t="s">
        <v>58</v>
      </c>
      <c r="B19" s="4" t="s">
        <v>59</v>
      </c>
      <c r="C19" s="4" t="s">
        <v>60</v>
      </c>
      <c r="D19" s="4" t="s">
        <v>61</v>
      </c>
      <c r="E19" s="4" t="s">
        <v>32</v>
      </c>
      <c r="F19" s="4" t="s">
        <v>52</v>
      </c>
      <c r="G19" s="4" t="s">
        <v>53</v>
      </c>
    </row>
    <row r="20" spans="1:9" ht="49.95" customHeight="1" x14ac:dyDescent="0.45">
      <c r="A20" s="3" t="s">
        <v>48</v>
      </c>
      <c r="B20" s="3" t="s">
        <v>62</v>
      </c>
      <c r="C20" s="8">
        <v>338</v>
      </c>
      <c r="D20" s="8">
        <v>304</v>
      </c>
      <c r="E20" s="9">
        <f>C20/D20-1</f>
        <v>0.11184210526315796</v>
      </c>
      <c r="F20" s="17" t="s">
        <v>63</v>
      </c>
      <c r="G20" s="18" t="s">
        <v>64</v>
      </c>
    </row>
    <row r="21" spans="1:9" ht="49.95" customHeight="1" x14ac:dyDescent="0.45">
      <c r="A21" s="3" t="s">
        <v>49</v>
      </c>
      <c r="B21" s="3" t="s">
        <v>62</v>
      </c>
      <c r="C21" s="8">
        <v>139</v>
      </c>
      <c r="D21" s="8">
        <v>119</v>
      </c>
      <c r="E21" s="9">
        <f>C21/D21-1</f>
        <v>0.16806722689075637</v>
      </c>
      <c r="F21" s="17" t="s">
        <v>63</v>
      </c>
      <c r="G21" s="18" t="s">
        <v>64</v>
      </c>
    </row>
    <row r="22" spans="1:9" ht="49.95" customHeight="1" x14ac:dyDescent="0.45">
      <c r="A22" s="3" t="s">
        <v>50</v>
      </c>
      <c r="B22" s="3" t="s">
        <v>62</v>
      </c>
      <c r="C22" s="8">
        <v>477</v>
      </c>
      <c r="D22" s="8">
        <v>423</v>
      </c>
      <c r="E22" s="9">
        <f>C22/D22-1</f>
        <v>0.12765957446808507</v>
      </c>
      <c r="F22" s="17" t="s">
        <v>63</v>
      </c>
      <c r="G22" s="18" t="s">
        <v>64</v>
      </c>
    </row>
    <row r="23" spans="1:9" ht="31.95" customHeight="1" x14ac:dyDescent="0.2">
      <c r="A23" s="33" t="s">
        <v>65</v>
      </c>
      <c r="B23" s="34"/>
      <c r="C23" s="34"/>
      <c r="D23" s="34"/>
      <c r="E23" s="34"/>
      <c r="F23" s="34"/>
      <c r="G23" s="34"/>
      <c r="H23" s="34"/>
      <c r="I23" s="34"/>
    </row>
    <row r="24" spans="1:9" ht="64.05" customHeight="1" x14ac:dyDescent="0.2">
      <c r="A24" s="33" t="s">
        <v>66</v>
      </c>
      <c r="B24" s="34"/>
      <c r="C24" s="34"/>
      <c r="D24" s="34"/>
      <c r="E24" s="34"/>
      <c r="F24" s="34"/>
      <c r="G24" s="34"/>
      <c r="H24" s="34"/>
      <c r="I24" s="34"/>
    </row>
    <row r="26" spans="1:9" ht="22.05" customHeight="1" x14ac:dyDescent="0.5">
      <c r="A26" s="14" t="s">
        <v>67</v>
      </c>
    </row>
    <row r="27" spans="1:9" ht="30" customHeight="1" x14ac:dyDescent="0.2">
      <c r="A27" s="4" t="s">
        <v>52</v>
      </c>
      <c r="B27" s="4" t="s">
        <v>68</v>
      </c>
      <c r="C27" s="4" t="s">
        <v>69</v>
      </c>
      <c r="D27" s="4" t="s">
        <v>53</v>
      </c>
    </row>
    <row r="28" spans="1:9" ht="18" x14ac:dyDescent="0.45">
      <c r="A28" s="3" t="s">
        <v>48</v>
      </c>
      <c r="B28" s="8">
        <v>596</v>
      </c>
      <c r="C28" s="8">
        <v>28</v>
      </c>
      <c r="D28" s="18" t="s">
        <v>70</v>
      </c>
    </row>
    <row r="29" spans="1:9" ht="18" x14ac:dyDescent="0.45">
      <c r="A29" s="3" t="s">
        <v>49</v>
      </c>
      <c r="B29" s="8">
        <v>248</v>
      </c>
      <c r="C29" s="8">
        <v>18</v>
      </c>
      <c r="D29" s="18" t="s">
        <v>70</v>
      </c>
    </row>
    <row r="30" spans="1:9" ht="18" customHeight="1" x14ac:dyDescent="0.2">
      <c r="A30" s="33" t="s">
        <v>71</v>
      </c>
      <c r="B30" s="34"/>
      <c r="C30" s="34"/>
      <c r="D30" s="34"/>
      <c r="E30" s="34"/>
      <c r="F30" s="34"/>
      <c r="G30" s="34"/>
      <c r="H30" s="34"/>
      <c r="I30" s="34"/>
    </row>
    <row r="32" spans="1:9" ht="22.05" customHeight="1" x14ac:dyDescent="0.5">
      <c r="A32" s="14" t="s">
        <v>72</v>
      </c>
    </row>
    <row r="33" spans="1:9" ht="30" customHeight="1" x14ac:dyDescent="0.2">
      <c r="A33" s="4" t="s">
        <v>52</v>
      </c>
      <c r="B33" s="4" t="s">
        <v>48</v>
      </c>
      <c r="C33" s="4" t="s">
        <v>49</v>
      </c>
      <c r="D33" s="4" t="s">
        <v>53</v>
      </c>
    </row>
    <row r="34" spans="1:9" ht="18" x14ac:dyDescent="0.45">
      <c r="A34" s="3" t="s">
        <v>73</v>
      </c>
      <c r="B34" s="8">
        <v>1</v>
      </c>
      <c r="C34" s="8">
        <v>0</v>
      </c>
      <c r="D34" s="18" t="s">
        <v>74</v>
      </c>
    </row>
    <row r="35" spans="1:9" ht="18" x14ac:dyDescent="0.45">
      <c r="A35" s="3" t="s">
        <v>75</v>
      </c>
      <c r="B35" s="8">
        <v>0</v>
      </c>
      <c r="C35" s="8">
        <v>0</v>
      </c>
      <c r="D35" s="18" t="s">
        <v>74</v>
      </c>
    </row>
    <row r="36" spans="1:9" ht="18" x14ac:dyDescent="0.45">
      <c r="A36" s="3" t="s">
        <v>76</v>
      </c>
      <c r="B36" s="8">
        <v>8</v>
      </c>
      <c r="C36" s="8">
        <v>0</v>
      </c>
      <c r="D36" s="18" t="s">
        <v>74</v>
      </c>
    </row>
    <row r="37" spans="1:9" ht="18" x14ac:dyDescent="0.45">
      <c r="A37" s="3" t="s">
        <v>77</v>
      </c>
      <c r="B37" s="8">
        <v>101</v>
      </c>
      <c r="C37" s="8">
        <v>10</v>
      </c>
      <c r="D37" s="18" t="s">
        <v>74</v>
      </c>
    </row>
    <row r="38" spans="1:9" ht="18" x14ac:dyDescent="0.45">
      <c r="A38" s="3" t="s">
        <v>78</v>
      </c>
      <c r="B38" s="8">
        <v>118</v>
      </c>
      <c r="C38" s="8">
        <v>28</v>
      </c>
      <c r="D38" s="18" t="s">
        <v>74</v>
      </c>
    </row>
    <row r="39" spans="1:9" ht="18" x14ac:dyDescent="0.45">
      <c r="A39" s="3" t="s">
        <v>79</v>
      </c>
      <c r="B39" s="8">
        <v>126</v>
      </c>
      <c r="C39" s="8">
        <v>36</v>
      </c>
      <c r="D39" s="18" t="s">
        <v>74</v>
      </c>
    </row>
    <row r="40" spans="1:9" ht="18" x14ac:dyDescent="0.45">
      <c r="A40" s="3" t="s">
        <v>80</v>
      </c>
      <c r="B40" s="8">
        <v>90</v>
      </c>
      <c r="C40" s="8">
        <v>37</v>
      </c>
      <c r="D40" s="18" t="s">
        <v>74</v>
      </c>
    </row>
    <row r="41" spans="1:9" ht="18" x14ac:dyDescent="0.45">
      <c r="A41" s="3" t="s">
        <v>81</v>
      </c>
      <c r="B41" s="8">
        <v>55</v>
      </c>
      <c r="C41" s="8">
        <v>41</v>
      </c>
      <c r="D41" s="18" t="s">
        <v>74</v>
      </c>
    </row>
    <row r="42" spans="1:9" ht="18" x14ac:dyDescent="0.45">
      <c r="A42" s="3" t="s">
        <v>82</v>
      </c>
      <c r="B42" s="8">
        <v>36</v>
      </c>
      <c r="C42" s="8">
        <v>28</v>
      </c>
      <c r="D42" s="18" t="s">
        <v>74</v>
      </c>
    </row>
    <row r="43" spans="1:9" ht="18" x14ac:dyDescent="0.45">
      <c r="A43" s="3" t="s">
        <v>83</v>
      </c>
      <c r="B43" s="8">
        <v>32</v>
      </c>
      <c r="C43" s="8">
        <v>35</v>
      </c>
      <c r="D43" s="18" t="s">
        <v>74</v>
      </c>
    </row>
    <row r="44" spans="1:9" ht="18" x14ac:dyDescent="0.45">
      <c r="A44" s="3" t="s">
        <v>84</v>
      </c>
      <c r="B44" s="8">
        <v>24</v>
      </c>
      <c r="C44" s="8">
        <v>19</v>
      </c>
      <c r="D44" s="18" t="s">
        <v>74</v>
      </c>
    </row>
    <row r="45" spans="1:9" ht="18" x14ac:dyDescent="0.45">
      <c r="A45" s="3" t="s">
        <v>85</v>
      </c>
      <c r="B45" s="8">
        <v>31</v>
      </c>
      <c r="C45" s="8">
        <v>32</v>
      </c>
      <c r="D45" s="18" t="s">
        <v>74</v>
      </c>
    </row>
    <row r="46" spans="1:9" ht="18" x14ac:dyDescent="0.45">
      <c r="A46" s="3" t="s">
        <v>86</v>
      </c>
      <c r="B46" s="8">
        <v>2</v>
      </c>
      <c r="C46" s="8">
        <v>0</v>
      </c>
      <c r="D46" s="18" t="s">
        <v>74</v>
      </c>
    </row>
    <row r="47" spans="1:9" ht="48" customHeight="1" x14ac:dyDescent="0.2">
      <c r="A47" s="33" t="s">
        <v>87</v>
      </c>
      <c r="B47" s="34"/>
      <c r="C47" s="34"/>
      <c r="D47" s="34"/>
      <c r="E47" s="34"/>
      <c r="F47" s="34"/>
      <c r="G47" s="34"/>
      <c r="H47" s="34"/>
      <c r="I47" s="34"/>
    </row>
    <row r="49" spans="1:9" ht="22.05" customHeight="1" x14ac:dyDescent="0.5">
      <c r="A49" s="14" t="s">
        <v>88</v>
      </c>
    </row>
    <row r="50" spans="1:9" ht="30" customHeight="1" x14ac:dyDescent="0.2">
      <c r="A50" s="4" t="s">
        <v>52</v>
      </c>
      <c r="B50" s="4" t="s">
        <v>89</v>
      </c>
      <c r="C50" s="4" t="s">
        <v>90</v>
      </c>
      <c r="D50" s="4" t="s">
        <v>48</v>
      </c>
      <c r="E50" s="4" t="s">
        <v>49</v>
      </c>
      <c r="F50" s="4" t="s">
        <v>91</v>
      </c>
      <c r="G50" s="4" t="s">
        <v>92</v>
      </c>
      <c r="H50" s="4" t="s">
        <v>53</v>
      </c>
    </row>
    <row r="51" spans="1:9" ht="18" x14ac:dyDescent="0.45">
      <c r="A51" s="3" t="s">
        <v>93</v>
      </c>
      <c r="B51" s="19">
        <v>1</v>
      </c>
      <c r="C51" s="8">
        <v>273</v>
      </c>
      <c r="D51" s="8">
        <v>210</v>
      </c>
      <c r="E51" s="8">
        <v>63</v>
      </c>
      <c r="F51" s="20">
        <v>1.4810000000000001</v>
      </c>
      <c r="G51" s="20">
        <v>0.44400000000000001</v>
      </c>
      <c r="H51" s="18" t="s">
        <v>94</v>
      </c>
    </row>
    <row r="52" spans="1:9" ht="18" x14ac:dyDescent="0.45">
      <c r="A52" s="3" t="s">
        <v>95</v>
      </c>
      <c r="B52" s="19">
        <v>2</v>
      </c>
      <c r="C52" s="8">
        <v>97</v>
      </c>
      <c r="D52" s="8">
        <v>85</v>
      </c>
      <c r="E52" s="8">
        <v>12</v>
      </c>
      <c r="F52" s="20">
        <v>0.97099999999999997</v>
      </c>
      <c r="G52" s="20">
        <v>0.13700000000000001</v>
      </c>
      <c r="H52" s="18" t="s">
        <v>94</v>
      </c>
    </row>
    <row r="53" spans="1:9" ht="18" x14ac:dyDescent="0.45">
      <c r="A53" s="3" t="s">
        <v>96</v>
      </c>
      <c r="B53" s="19">
        <v>3</v>
      </c>
      <c r="C53" s="8">
        <v>70</v>
      </c>
      <c r="D53" s="8">
        <v>49</v>
      </c>
      <c r="E53" s="8">
        <v>21</v>
      </c>
      <c r="F53" s="20">
        <v>0.53100000000000003</v>
      </c>
      <c r="G53" s="20">
        <v>0.22800000000000001</v>
      </c>
      <c r="H53" s="18" t="s">
        <v>94</v>
      </c>
    </row>
    <row r="54" spans="1:9" ht="18" x14ac:dyDescent="0.45">
      <c r="A54" s="3" t="s">
        <v>97</v>
      </c>
      <c r="B54" s="19">
        <v>4</v>
      </c>
      <c r="C54" s="8">
        <v>57</v>
      </c>
      <c r="D54" s="8">
        <v>40</v>
      </c>
      <c r="E54" s="8">
        <v>17</v>
      </c>
      <c r="F54" s="20">
        <v>0.53600000000000003</v>
      </c>
      <c r="G54" s="20">
        <v>0.22800000000000001</v>
      </c>
      <c r="H54" s="18" t="s">
        <v>94</v>
      </c>
    </row>
    <row r="55" spans="1:9" ht="18" x14ac:dyDescent="0.45">
      <c r="A55" s="3" t="s">
        <v>98</v>
      </c>
      <c r="B55" s="19">
        <v>5</v>
      </c>
      <c r="C55" s="8">
        <v>43</v>
      </c>
      <c r="D55" s="8">
        <v>23</v>
      </c>
      <c r="E55" s="8">
        <v>20</v>
      </c>
      <c r="F55" s="20">
        <v>0.45200000000000001</v>
      </c>
      <c r="G55" s="20">
        <v>0.39300000000000002</v>
      </c>
      <c r="H55" s="18" t="s">
        <v>94</v>
      </c>
    </row>
    <row r="56" spans="1:9" ht="64.05" customHeight="1" x14ac:dyDescent="0.2">
      <c r="A56" s="33" t="s">
        <v>99</v>
      </c>
      <c r="B56" s="34"/>
      <c r="C56" s="34"/>
      <c r="D56" s="34"/>
      <c r="E56" s="34"/>
      <c r="F56" s="34"/>
      <c r="G56" s="34"/>
      <c r="H56" s="34"/>
      <c r="I56" s="34"/>
    </row>
    <row r="58" spans="1:9" ht="22.05" customHeight="1" x14ac:dyDescent="0.5">
      <c r="A58" s="14" t="s">
        <v>100</v>
      </c>
    </row>
    <row r="59" spans="1:9" ht="30" customHeight="1" x14ac:dyDescent="0.2">
      <c r="A59" s="4" t="s">
        <v>52</v>
      </c>
      <c r="B59" s="4" t="s">
        <v>101</v>
      </c>
      <c r="C59" s="4" t="s">
        <v>102</v>
      </c>
      <c r="D59" s="4" t="s">
        <v>53</v>
      </c>
    </row>
    <row r="60" spans="1:9" ht="18" x14ac:dyDescent="0.45">
      <c r="A60" s="3" t="s">
        <v>93</v>
      </c>
      <c r="B60" s="21">
        <v>23.1</v>
      </c>
      <c r="C60" s="21">
        <v>21.7</v>
      </c>
      <c r="D60" s="18" t="s">
        <v>103</v>
      </c>
    </row>
    <row r="61" spans="1:9" ht="18" x14ac:dyDescent="0.45">
      <c r="A61" s="3" t="s">
        <v>95</v>
      </c>
      <c r="B61" s="21">
        <v>12.4</v>
      </c>
      <c r="C61" s="21">
        <v>30.8</v>
      </c>
      <c r="D61" s="18" t="s">
        <v>103</v>
      </c>
    </row>
    <row r="62" spans="1:9" ht="18" x14ac:dyDescent="0.45">
      <c r="A62" s="3" t="s">
        <v>104</v>
      </c>
      <c r="B62" s="21">
        <v>36.700000000000003</v>
      </c>
      <c r="C62" s="21">
        <v>39.299999999999997</v>
      </c>
      <c r="D62" s="18" t="s">
        <v>103</v>
      </c>
    </row>
    <row r="63" spans="1:9" ht="18" x14ac:dyDescent="0.45">
      <c r="A63" s="3" t="s">
        <v>105</v>
      </c>
      <c r="B63" s="21">
        <v>29.9</v>
      </c>
      <c r="C63" s="21">
        <v>33.4</v>
      </c>
      <c r="D63" s="18" t="s">
        <v>103</v>
      </c>
    </row>
    <row r="64" spans="1:9" ht="18" customHeight="1" x14ac:dyDescent="0.2">
      <c r="A64" s="33" t="s">
        <v>106</v>
      </c>
      <c r="B64" s="34"/>
      <c r="C64" s="34"/>
      <c r="D64" s="34"/>
      <c r="E64" s="34"/>
      <c r="F64" s="34"/>
      <c r="G64" s="34"/>
      <c r="H64" s="34"/>
      <c r="I64" s="34"/>
    </row>
    <row r="66" spans="1:9" ht="22.05" customHeight="1" x14ac:dyDescent="0.5">
      <c r="A66" s="14" t="s">
        <v>107</v>
      </c>
    </row>
    <row r="67" spans="1:9" ht="30" customHeight="1" x14ac:dyDescent="0.2">
      <c r="A67" s="4" t="s">
        <v>52</v>
      </c>
      <c r="B67" s="4" t="s">
        <v>48</v>
      </c>
      <c r="C67" s="4" t="s">
        <v>49</v>
      </c>
      <c r="D67" s="4" t="s">
        <v>50</v>
      </c>
      <c r="E67" s="4" t="s">
        <v>53</v>
      </c>
    </row>
    <row r="68" spans="1:9" ht="18" x14ac:dyDescent="0.45">
      <c r="A68" s="3" t="s">
        <v>108</v>
      </c>
      <c r="B68" s="8">
        <v>25818</v>
      </c>
      <c r="C68" s="8">
        <v>11447</v>
      </c>
      <c r="D68" s="8">
        <v>37265</v>
      </c>
      <c r="E68" s="18" t="s">
        <v>103</v>
      </c>
    </row>
    <row r="69" spans="1:9" ht="64.05" customHeight="1" x14ac:dyDescent="0.2">
      <c r="A69" s="33" t="s">
        <v>109</v>
      </c>
      <c r="B69" s="34"/>
      <c r="C69" s="34"/>
      <c r="D69" s="34"/>
      <c r="E69" s="34"/>
      <c r="F69" s="34"/>
      <c r="G69" s="34"/>
      <c r="H69" s="34"/>
      <c r="I69" s="34"/>
    </row>
    <row r="71" spans="1:9" ht="22.05" customHeight="1" x14ac:dyDescent="0.5">
      <c r="A71" s="14" t="s">
        <v>110</v>
      </c>
    </row>
    <row r="72" spans="1:9" ht="30" customHeight="1" x14ac:dyDescent="0.2">
      <c r="A72" s="4" t="s">
        <v>52</v>
      </c>
      <c r="B72" s="4" t="s">
        <v>48</v>
      </c>
      <c r="C72" s="4" t="s">
        <v>49</v>
      </c>
      <c r="D72" s="4" t="s">
        <v>50</v>
      </c>
      <c r="E72" s="4" t="s">
        <v>53</v>
      </c>
    </row>
    <row r="73" spans="1:9" ht="18" x14ac:dyDescent="0.45">
      <c r="A73" s="3" t="s">
        <v>111</v>
      </c>
      <c r="B73" s="8">
        <v>404</v>
      </c>
      <c r="C73" s="8">
        <v>139</v>
      </c>
      <c r="D73" s="8">
        <v>543</v>
      </c>
      <c r="E73" s="18" t="s">
        <v>70</v>
      </c>
    </row>
    <row r="74" spans="1:9" ht="18" x14ac:dyDescent="0.45">
      <c r="A74" s="3" t="s">
        <v>112</v>
      </c>
      <c r="B74" s="8">
        <v>91</v>
      </c>
      <c r="C74" s="8">
        <v>52</v>
      </c>
      <c r="D74" s="8">
        <v>143</v>
      </c>
      <c r="E74" s="18" t="s">
        <v>70</v>
      </c>
    </row>
    <row r="75" spans="1:9" ht="18" x14ac:dyDescent="0.45">
      <c r="A75" s="3" t="s">
        <v>113</v>
      </c>
      <c r="B75" s="8">
        <v>0</v>
      </c>
      <c r="C75" s="8">
        <v>0</v>
      </c>
      <c r="D75" s="8">
        <v>0</v>
      </c>
      <c r="E75" s="18" t="s">
        <v>70</v>
      </c>
    </row>
    <row r="76" spans="1:9" ht="18" x14ac:dyDescent="0.45">
      <c r="A76" s="3" t="s">
        <v>114</v>
      </c>
      <c r="B76" s="8">
        <v>1</v>
      </c>
      <c r="C76" s="8">
        <v>0</v>
      </c>
      <c r="D76" s="8">
        <v>1</v>
      </c>
      <c r="E76" s="18" t="s">
        <v>70</v>
      </c>
    </row>
    <row r="77" spans="1:9" ht="18" x14ac:dyDescent="0.45">
      <c r="A77" s="3" t="s">
        <v>115</v>
      </c>
      <c r="B77" s="8">
        <v>44</v>
      </c>
      <c r="C77" s="8">
        <v>24</v>
      </c>
      <c r="D77" s="8">
        <v>68</v>
      </c>
      <c r="E77" s="18" t="s">
        <v>70</v>
      </c>
    </row>
    <row r="78" spans="1:9" ht="18" x14ac:dyDescent="0.45">
      <c r="A78" s="3" t="s">
        <v>86</v>
      </c>
      <c r="B78" s="8">
        <v>84</v>
      </c>
      <c r="C78" s="8">
        <v>51</v>
      </c>
      <c r="D78" s="8">
        <v>135</v>
      </c>
      <c r="E78" s="18" t="s">
        <v>70</v>
      </c>
    </row>
    <row r="79" spans="1:9" ht="79.95" customHeight="1" x14ac:dyDescent="0.2">
      <c r="A79" s="33" t="s">
        <v>116</v>
      </c>
      <c r="B79" s="34"/>
      <c r="C79" s="34"/>
      <c r="D79" s="34"/>
      <c r="E79" s="34"/>
      <c r="F79" s="34"/>
      <c r="G79" s="34"/>
      <c r="H79" s="34"/>
      <c r="I79" s="34"/>
    </row>
    <row r="81" spans="1:9" ht="22.05" customHeight="1" x14ac:dyDescent="0.5">
      <c r="A81" s="14" t="s">
        <v>117</v>
      </c>
    </row>
    <row r="82" spans="1:9" ht="30" customHeight="1" x14ac:dyDescent="0.2">
      <c r="A82" s="4" t="s">
        <v>52</v>
      </c>
      <c r="B82" s="4" t="s">
        <v>48</v>
      </c>
      <c r="C82" s="4" t="s">
        <v>49</v>
      </c>
      <c r="D82" s="4" t="s">
        <v>53</v>
      </c>
    </row>
    <row r="83" spans="1:9" ht="18" x14ac:dyDescent="0.45">
      <c r="A83" s="3" t="s">
        <v>118</v>
      </c>
      <c r="B83" s="8">
        <v>451</v>
      </c>
      <c r="C83" s="8">
        <v>202</v>
      </c>
      <c r="D83" s="18" t="s">
        <v>70</v>
      </c>
    </row>
    <row r="84" spans="1:9" ht="18" x14ac:dyDescent="0.45">
      <c r="A84" s="3" t="s">
        <v>119</v>
      </c>
      <c r="B84" s="8">
        <v>16</v>
      </c>
      <c r="C84" s="8">
        <v>8</v>
      </c>
      <c r="D84" s="18" t="s">
        <v>70</v>
      </c>
    </row>
    <row r="85" spans="1:9" ht="18" x14ac:dyDescent="0.45">
      <c r="A85" s="3" t="s">
        <v>120</v>
      </c>
      <c r="B85" s="8">
        <v>145</v>
      </c>
      <c r="C85" s="8">
        <v>46</v>
      </c>
      <c r="D85" s="18" t="s">
        <v>70</v>
      </c>
    </row>
    <row r="86" spans="1:9" ht="18" x14ac:dyDescent="0.45">
      <c r="A86" s="3" t="s">
        <v>121</v>
      </c>
      <c r="B86" s="8">
        <v>12</v>
      </c>
      <c r="C86" s="8">
        <v>10</v>
      </c>
      <c r="D86" s="18" t="s">
        <v>70</v>
      </c>
    </row>
    <row r="87" spans="1:9" ht="18" customHeight="1" x14ac:dyDescent="0.2">
      <c r="A87" s="33" t="s">
        <v>122</v>
      </c>
      <c r="B87" s="34"/>
      <c r="C87" s="34"/>
      <c r="D87" s="34"/>
      <c r="E87" s="34"/>
      <c r="F87" s="34"/>
      <c r="G87" s="34"/>
      <c r="H87" s="34"/>
      <c r="I87" s="34"/>
    </row>
    <row r="89" spans="1:9" ht="22.05" customHeight="1" x14ac:dyDescent="0.5">
      <c r="A89" s="14" t="s">
        <v>123</v>
      </c>
    </row>
    <row r="90" spans="1:9" ht="30" customHeight="1" x14ac:dyDescent="0.2">
      <c r="A90" s="4" t="s">
        <v>52</v>
      </c>
      <c r="B90" s="4" t="s">
        <v>124</v>
      </c>
      <c r="C90" s="4" t="s">
        <v>125</v>
      </c>
      <c r="D90" s="4" t="s">
        <v>53</v>
      </c>
    </row>
    <row r="91" spans="1:9" ht="18" x14ac:dyDescent="0.45">
      <c r="A91" s="3" t="s">
        <v>126</v>
      </c>
      <c r="B91" s="8">
        <v>142260</v>
      </c>
      <c r="C91" s="8">
        <v>129695</v>
      </c>
      <c r="D91" s="18" t="s">
        <v>103</v>
      </c>
    </row>
    <row r="92" spans="1:9" ht="18" x14ac:dyDescent="0.45">
      <c r="A92" s="3" t="s">
        <v>127</v>
      </c>
      <c r="B92" s="8">
        <v>68998</v>
      </c>
      <c r="C92" s="8">
        <v>66519</v>
      </c>
      <c r="D92" s="18" t="s">
        <v>103</v>
      </c>
    </row>
    <row r="93" spans="1:9" ht="18" x14ac:dyDescent="0.45">
      <c r="A93" s="3" t="s">
        <v>128</v>
      </c>
      <c r="B93" s="8">
        <v>58172</v>
      </c>
      <c r="C93" s="8">
        <v>54551</v>
      </c>
      <c r="D93" s="18" t="s">
        <v>103</v>
      </c>
    </row>
    <row r="94" spans="1:9" ht="18" x14ac:dyDescent="0.45">
      <c r="A94" s="3" t="s">
        <v>129</v>
      </c>
      <c r="B94" s="8">
        <v>73104</v>
      </c>
      <c r="C94" s="8">
        <v>67009</v>
      </c>
      <c r="D94" s="18" t="s">
        <v>103</v>
      </c>
    </row>
    <row r="95" spans="1:9" ht="18" x14ac:dyDescent="0.45">
      <c r="A95" s="3" t="s">
        <v>130</v>
      </c>
      <c r="B95" s="8">
        <v>106137</v>
      </c>
      <c r="C95" s="8">
        <v>86088</v>
      </c>
      <c r="D95" s="18" t="s">
        <v>103</v>
      </c>
    </row>
    <row r="96" spans="1:9" ht="18" x14ac:dyDescent="0.45">
      <c r="A96" s="3" t="s">
        <v>131</v>
      </c>
      <c r="B96" s="8">
        <v>108988</v>
      </c>
      <c r="C96" s="8">
        <v>84144</v>
      </c>
      <c r="D96" s="18" t="s">
        <v>103</v>
      </c>
    </row>
    <row r="97" spans="1:9" ht="18" x14ac:dyDescent="0.45">
      <c r="A97" s="3" t="s">
        <v>132</v>
      </c>
      <c r="B97" s="8">
        <v>106756</v>
      </c>
      <c r="C97" s="8">
        <v>73359</v>
      </c>
      <c r="D97" s="18" t="s">
        <v>103</v>
      </c>
    </row>
    <row r="98" spans="1:9" ht="79.95" customHeight="1" x14ac:dyDescent="0.2">
      <c r="A98" s="33" t="s">
        <v>133</v>
      </c>
      <c r="B98" s="34"/>
      <c r="C98" s="34"/>
      <c r="D98" s="34"/>
      <c r="E98" s="34"/>
      <c r="F98" s="34"/>
      <c r="G98" s="34"/>
      <c r="H98" s="34"/>
      <c r="I98" s="34"/>
    </row>
    <row r="100" spans="1:9" ht="22.05" customHeight="1" x14ac:dyDescent="0.5">
      <c r="A100" s="14" t="s">
        <v>134</v>
      </c>
    </row>
    <row r="101" spans="1:9" ht="30" customHeight="1" x14ac:dyDescent="0.2">
      <c r="A101" s="4" t="s">
        <v>52</v>
      </c>
      <c r="B101" s="4" t="s">
        <v>48</v>
      </c>
      <c r="C101" s="4" t="s">
        <v>49</v>
      </c>
      <c r="D101" s="4" t="s">
        <v>50</v>
      </c>
      <c r="E101" s="4" t="s">
        <v>53</v>
      </c>
    </row>
    <row r="102" spans="1:9" ht="30" customHeight="1" x14ac:dyDescent="0.45">
      <c r="A102" s="3" t="s">
        <v>135</v>
      </c>
      <c r="B102" s="8">
        <v>173</v>
      </c>
      <c r="C102" s="8">
        <v>52</v>
      </c>
      <c r="D102" s="8">
        <v>225</v>
      </c>
      <c r="E102" s="18" t="s">
        <v>64</v>
      </c>
    </row>
    <row r="103" spans="1:9" ht="30" customHeight="1" x14ac:dyDescent="0.45">
      <c r="A103" s="3" t="s">
        <v>136</v>
      </c>
      <c r="B103" s="8">
        <v>165</v>
      </c>
      <c r="C103" s="8">
        <v>87</v>
      </c>
      <c r="D103" s="8">
        <v>252</v>
      </c>
      <c r="E103" s="18" t="s">
        <v>64</v>
      </c>
    </row>
    <row r="104" spans="1:9" ht="18" x14ac:dyDescent="0.45">
      <c r="A104" s="3" t="s">
        <v>137</v>
      </c>
      <c r="B104" s="8">
        <v>148</v>
      </c>
      <c r="C104" s="8">
        <v>52</v>
      </c>
      <c r="D104" s="8">
        <v>200</v>
      </c>
      <c r="E104" s="18" t="s">
        <v>64</v>
      </c>
    </row>
    <row r="105" spans="1:9" ht="18" x14ac:dyDescent="0.45">
      <c r="A105" s="3" t="s">
        <v>138</v>
      </c>
      <c r="B105" s="8">
        <v>156</v>
      </c>
      <c r="C105" s="8">
        <v>67</v>
      </c>
      <c r="D105" s="8">
        <v>223</v>
      </c>
      <c r="E105" s="18" t="s">
        <v>64</v>
      </c>
    </row>
    <row r="106" spans="1:9" ht="31.95" customHeight="1" x14ac:dyDescent="0.2">
      <c r="A106" s="33" t="s">
        <v>139</v>
      </c>
      <c r="B106" s="34"/>
      <c r="C106" s="34"/>
      <c r="D106" s="34"/>
      <c r="E106" s="34"/>
      <c r="F106" s="34"/>
      <c r="G106" s="34"/>
      <c r="H106" s="34"/>
      <c r="I106" s="34"/>
    </row>
    <row r="108" spans="1:9" ht="22.05" customHeight="1" x14ac:dyDescent="0.5">
      <c r="A108" s="14" t="s">
        <v>140</v>
      </c>
    </row>
    <row r="109" spans="1:9" ht="30" customHeight="1" x14ac:dyDescent="0.2">
      <c r="A109" s="4" t="s">
        <v>52</v>
      </c>
      <c r="B109" s="4" t="s">
        <v>60</v>
      </c>
      <c r="C109" s="4" t="s">
        <v>141</v>
      </c>
      <c r="D109" s="4" t="s">
        <v>53</v>
      </c>
    </row>
    <row r="110" spans="1:9" ht="18" x14ac:dyDescent="0.45">
      <c r="A110" s="3" t="s">
        <v>142</v>
      </c>
      <c r="B110" s="8">
        <v>22771</v>
      </c>
      <c r="C110" s="8">
        <v>26434</v>
      </c>
      <c r="D110" s="18" t="s">
        <v>64</v>
      </c>
    </row>
    <row r="111" spans="1:9" ht="18" x14ac:dyDescent="0.45">
      <c r="A111" s="3" t="s">
        <v>143</v>
      </c>
      <c r="B111" s="8">
        <v>24037</v>
      </c>
      <c r="C111" s="8">
        <v>26850</v>
      </c>
      <c r="D111" s="18" t="s">
        <v>64</v>
      </c>
    </row>
    <row r="112" spans="1:9" ht="18" x14ac:dyDescent="0.45">
      <c r="A112" s="3" t="s">
        <v>144</v>
      </c>
      <c r="B112" s="8">
        <v>14760</v>
      </c>
      <c r="C112" s="8">
        <v>17488</v>
      </c>
      <c r="D112" s="18" t="s">
        <v>64</v>
      </c>
    </row>
    <row r="113" spans="1:9" ht="18" x14ac:dyDescent="0.45">
      <c r="A113" s="3" t="s">
        <v>145</v>
      </c>
      <c r="B113" s="8">
        <v>14934</v>
      </c>
      <c r="C113" s="8">
        <v>17948</v>
      </c>
      <c r="D113" s="18" t="s">
        <v>64</v>
      </c>
    </row>
    <row r="114" spans="1:9" ht="48" customHeight="1" x14ac:dyDescent="0.2">
      <c r="A114" s="33" t="s">
        <v>146</v>
      </c>
      <c r="B114" s="34"/>
      <c r="C114" s="34"/>
      <c r="D114" s="34"/>
      <c r="E114" s="34"/>
      <c r="F114" s="34"/>
      <c r="G114" s="34"/>
      <c r="H114" s="34"/>
      <c r="I114" s="34"/>
    </row>
    <row r="116" spans="1:9" ht="22.05" customHeight="1" x14ac:dyDescent="0.5">
      <c r="A116" s="14" t="s">
        <v>147</v>
      </c>
    </row>
    <row r="117" spans="1:9" ht="31.95" customHeight="1" x14ac:dyDescent="0.2">
      <c r="A117" s="35" t="s">
        <v>148</v>
      </c>
      <c r="B117" s="34"/>
      <c r="C117" s="34"/>
      <c r="D117" s="34"/>
      <c r="E117" s="34"/>
      <c r="F117" s="34"/>
      <c r="G117" s="34"/>
      <c r="H117" s="34"/>
      <c r="I117" s="34"/>
    </row>
    <row r="118" spans="1:9" ht="31.95" customHeight="1" x14ac:dyDescent="0.2">
      <c r="A118" s="35" t="s">
        <v>149</v>
      </c>
      <c r="B118" s="34"/>
      <c r="C118" s="34"/>
      <c r="D118" s="34"/>
      <c r="E118" s="34"/>
      <c r="F118" s="34"/>
      <c r="G118" s="34"/>
      <c r="H118" s="34"/>
      <c r="I118" s="34"/>
    </row>
    <row r="119" spans="1:9" ht="31.95" customHeight="1" x14ac:dyDescent="0.2">
      <c r="A119" s="35" t="s">
        <v>150</v>
      </c>
      <c r="B119" s="34"/>
      <c r="C119" s="34"/>
      <c r="D119" s="34"/>
      <c r="E119" s="34"/>
      <c r="F119" s="34"/>
      <c r="G119" s="34"/>
      <c r="H119" s="34"/>
      <c r="I119" s="34"/>
    </row>
    <row r="120" spans="1:9" ht="31.95" customHeight="1" x14ac:dyDescent="0.2">
      <c r="A120" s="35" t="s">
        <v>151</v>
      </c>
      <c r="B120" s="34"/>
      <c r="C120" s="34"/>
      <c r="D120" s="34"/>
      <c r="E120" s="34"/>
      <c r="F120" s="34"/>
      <c r="G120" s="34"/>
      <c r="H120" s="34"/>
      <c r="I120" s="34"/>
    </row>
    <row r="121" spans="1:9" ht="48" customHeight="1" x14ac:dyDescent="0.2">
      <c r="A121" s="35" t="s">
        <v>152</v>
      </c>
      <c r="B121" s="34"/>
      <c r="C121" s="34"/>
      <c r="D121" s="34"/>
      <c r="E121" s="34"/>
      <c r="F121" s="34"/>
      <c r="G121" s="34"/>
      <c r="H121" s="34"/>
      <c r="I121" s="34"/>
    </row>
    <row r="123" spans="1:9" ht="22.05" customHeight="1" x14ac:dyDescent="0.5">
      <c r="A123" s="14" t="s">
        <v>153</v>
      </c>
    </row>
    <row r="124" spans="1:9" ht="31.95" customHeight="1" x14ac:dyDescent="0.2">
      <c r="A124" s="35" t="s">
        <v>154</v>
      </c>
      <c r="B124" s="34"/>
      <c r="C124" s="34"/>
      <c r="D124" s="34"/>
      <c r="E124" s="34"/>
      <c r="F124" s="34"/>
      <c r="G124" s="34"/>
      <c r="H124" s="34"/>
      <c r="I124" s="34"/>
    </row>
    <row r="125" spans="1:9" ht="64.05" customHeight="1" x14ac:dyDescent="0.2">
      <c r="A125" s="35" t="s">
        <v>155</v>
      </c>
      <c r="B125" s="34"/>
      <c r="C125" s="34"/>
      <c r="D125" s="34"/>
      <c r="E125" s="34"/>
      <c r="F125" s="34"/>
      <c r="G125" s="34"/>
      <c r="H125" s="34"/>
      <c r="I125" s="34"/>
    </row>
    <row r="126" spans="1:9" ht="31.95" customHeight="1" x14ac:dyDescent="0.2">
      <c r="A126" s="35" t="s">
        <v>156</v>
      </c>
      <c r="B126" s="34"/>
      <c r="C126" s="34"/>
      <c r="D126" s="34"/>
      <c r="E126" s="34"/>
      <c r="F126" s="34"/>
      <c r="G126" s="34"/>
      <c r="H126" s="34"/>
      <c r="I126" s="34"/>
    </row>
    <row r="127" spans="1:9" ht="31.95" customHeight="1" x14ac:dyDescent="0.2">
      <c r="A127" s="35" t="s">
        <v>157</v>
      </c>
      <c r="B127" s="34"/>
      <c r="C127" s="34"/>
      <c r="D127" s="34"/>
      <c r="E127" s="34"/>
      <c r="F127" s="34"/>
      <c r="G127" s="34"/>
      <c r="H127" s="34"/>
      <c r="I127" s="34"/>
    </row>
    <row r="129" spans="1:9" ht="22.05" customHeight="1" x14ac:dyDescent="0.5">
      <c r="A129" s="14" t="s">
        <v>158</v>
      </c>
    </row>
    <row r="130" spans="1:9" ht="18" customHeight="1" x14ac:dyDescent="0.2">
      <c r="A130" s="35" t="s">
        <v>159</v>
      </c>
      <c r="B130" s="34"/>
      <c r="C130" s="34"/>
      <c r="D130" s="34"/>
      <c r="E130" s="34"/>
      <c r="F130" s="34"/>
      <c r="G130" s="34"/>
      <c r="H130" s="34"/>
      <c r="I130" s="34"/>
    </row>
    <row r="131" spans="1:9" ht="18" customHeight="1" x14ac:dyDescent="0.2">
      <c r="A131" s="35" t="s">
        <v>160</v>
      </c>
      <c r="B131" s="34"/>
      <c r="C131" s="34"/>
      <c r="D131" s="34"/>
      <c r="E131" s="34"/>
      <c r="F131" s="34"/>
      <c r="G131" s="34"/>
      <c r="H131" s="34"/>
      <c r="I131" s="34"/>
    </row>
    <row r="132" spans="1:9" ht="18" customHeight="1" x14ac:dyDescent="0.2">
      <c r="A132" s="35" t="s">
        <v>161</v>
      </c>
      <c r="B132" s="34"/>
      <c r="C132" s="34"/>
      <c r="D132" s="34"/>
      <c r="E132" s="34"/>
      <c r="F132" s="34"/>
      <c r="G132" s="34"/>
      <c r="H132" s="34"/>
      <c r="I132" s="34"/>
    </row>
    <row r="133" spans="1:9" ht="18" customHeight="1" x14ac:dyDescent="0.2">
      <c r="A133" s="35" t="s">
        <v>162</v>
      </c>
      <c r="B133" s="34"/>
      <c r="C133" s="34"/>
      <c r="D133" s="34"/>
      <c r="E133" s="34"/>
      <c r="F133" s="34"/>
      <c r="G133" s="34"/>
      <c r="H133" s="34"/>
      <c r="I133" s="34"/>
    </row>
    <row r="134" spans="1:9" ht="31.95" customHeight="1" x14ac:dyDescent="0.2">
      <c r="A134" s="35" t="s">
        <v>163</v>
      </c>
      <c r="B134" s="34"/>
      <c r="C134" s="34"/>
      <c r="D134" s="34"/>
      <c r="E134" s="34"/>
      <c r="F134" s="34"/>
      <c r="G134" s="34"/>
      <c r="H134" s="34"/>
      <c r="I134" s="34"/>
    </row>
    <row r="135" spans="1:9" ht="18" customHeight="1" x14ac:dyDescent="0.2">
      <c r="A135" s="35" t="s">
        <v>164</v>
      </c>
      <c r="B135" s="34"/>
      <c r="C135" s="34"/>
      <c r="D135" s="34"/>
      <c r="E135" s="34"/>
      <c r="F135" s="34"/>
      <c r="G135" s="34"/>
      <c r="H135" s="34"/>
      <c r="I135" s="34"/>
    </row>
  </sheetData>
  <mergeCells count="29">
    <mergeCell ref="A119:I119"/>
    <mergeCell ref="A69:I69"/>
    <mergeCell ref="A87:I87"/>
    <mergeCell ref="A16:I16"/>
    <mergeCell ref="A135:I135"/>
    <mergeCell ref="A131:I131"/>
    <mergeCell ref="A125:I125"/>
    <mergeCell ref="A134:I134"/>
    <mergeCell ref="A121:I121"/>
    <mergeCell ref="A127:I127"/>
    <mergeCell ref="A130:I130"/>
    <mergeCell ref="A132:I132"/>
    <mergeCell ref="A124:I124"/>
    <mergeCell ref="A133:I133"/>
    <mergeCell ref="A118:I118"/>
    <mergeCell ref="A56:I56"/>
    <mergeCell ref="A120:I120"/>
    <mergeCell ref="A2:I2"/>
    <mergeCell ref="A47:I47"/>
    <mergeCell ref="A23:I23"/>
    <mergeCell ref="A126:I126"/>
    <mergeCell ref="A106:I106"/>
    <mergeCell ref="A117:I117"/>
    <mergeCell ref="A114:I114"/>
    <mergeCell ref="A24:I24"/>
    <mergeCell ref="A30:I30"/>
    <mergeCell ref="A64:I64"/>
    <mergeCell ref="A98:I98"/>
    <mergeCell ref="A79:I79"/>
  </mergeCells>
  <phoneticPr fontId="8"/>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O63"/>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165</v>
      </c>
    </row>
    <row r="2" spans="1:15" ht="31.95" customHeight="1" x14ac:dyDescent="0.2">
      <c r="A2" s="33" t="s">
        <v>166</v>
      </c>
      <c r="B2" s="34"/>
      <c r="C2" s="34"/>
      <c r="D2" s="34"/>
      <c r="E2" s="34"/>
      <c r="F2" s="34"/>
      <c r="G2" s="34"/>
      <c r="H2" s="34"/>
      <c r="I2" s="34"/>
      <c r="J2" s="34"/>
      <c r="K2" s="34"/>
      <c r="L2" s="34"/>
      <c r="M2" s="34"/>
    </row>
    <row r="4" spans="1:15" ht="22.05" customHeight="1" x14ac:dyDescent="0.5">
      <c r="A4" s="14" t="s">
        <v>167</v>
      </c>
    </row>
    <row r="5" spans="1:15" ht="30" customHeight="1" x14ac:dyDescent="0.2">
      <c r="A5" s="4" t="s">
        <v>168</v>
      </c>
      <c r="B5" s="4" t="s">
        <v>52</v>
      </c>
      <c r="C5" s="4" t="s">
        <v>169</v>
      </c>
      <c r="D5" s="4" t="s">
        <v>170</v>
      </c>
      <c r="E5" s="4" t="s">
        <v>171</v>
      </c>
      <c r="F5" s="4" t="s">
        <v>172</v>
      </c>
      <c r="G5" s="4" t="s">
        <v>173</v>
      </c>
      <c r="H5" s="4" t="s">
        <v>174</v>
      </c>
      <c r="I5" s="4" t="s">
        <v>175</v>
      </c>
      <c r="J5" s="4" t="s">
        <v>176</v>
      </c>
      <c r="K5" s="4" t="s">
        <v>177</v>
      </c>
      <c r="L5" s="4" t="s">
        <v>178</v>
      </c>
      <c r="M5" s="4" t="s">
        <v>179</v>
      </c>
      <c r="N5" s="4" t="s">
        <v>180</v>
      </c>
      <c r="O5" s="4" t="s">
        <v>53</v>
      </c>
    </row>
    <row r="6" spans="1:15" ht="18" x14ac:dyDescent="0.45">
      <c r="A6" s="5" t="s">
        <v>181</v>
      </c>
      <c r="B6" s="23" t="s">
        <v>181</v>
      </c>
      <c r="C6" s="24"/>
      <c r="D6" s="8">
        <v>41000000</v>
      </c>
      <c r="E6" s="8">
        <v>35300000</v>
      </c>
      <c r="F6" s="8">
        <v>47500000</v>
      </c>
      <c r="G6" s="21">
        <v>0.7</v>
      </c>
      <c r="H6" s="8">
        <v>1200000</v>
      </c>
      <c r="I6" s="25">
        <v>-42</v>
      </c>
      <c r="J6" s="8">
        <v>570000</v>
      </c>
      <c r="K6" s="25">
        <v>-57</v>
      </c>
      <c r="L6" s="8">
        <v>88</v>
      </c>
      <c r="M6" s="8">
        <v>78</v>
      </c>
      <c r="N6" s="8">
        <v>74</v>
      </c>
      <c r="O6" s="18" t="s">
        <v>182</v>
      </c>
    </row>
    <row r="7" spans="1:15" ht="18" x14ac:dyDescent="0.45">
      <c r="A7" s="5" t="s">
        <v>183</v>
      </c>
      <c r="B7" s="23" t="s">
        <v>184</v>
      </c>
      <c r="C7" s="24"/>
      <c r="D7" s="8">
        <v>7100000</v>
      </c>
      <c r="E7" s="8">
        <v>6300000</v>
      </c>
      <c r="F7" s="8">
        <v>8000000</v>
      </c>
      <c r="G7" s="21">
        <v>0.2</v>
      </c>
      <c r="H7" s="8">
        <v>280000</v>
      </c>
      <c r="I7" s="25">
        <v>-21</v>
      </c>
      <c r="J7" s="8">
        <v>120000</v>
      </c>
      <c r="K7" s="25">
        <v>-59</v>
      </c>
      <c r="L7" s="8">
        <v>81</v>
      </c>
      <c r="M7" s="8">
        <v>72</v>
      </c>
      <c r="N7" s="8">
        <v>69</v>
      </c>
      <c r="O7" s="18" t="s">
        <v>185</v>
      </c>
    </row>
    <row r="8" spans="1:15" ht="18" x14ac:dyDescent="0.45">
      <c r="A8" s="5" t="s">
        <v>186</v>
      </c>
      <c r="B8" s="23" t="s">
        <v>184</v>
      </c>
      <c r="C8" s="24"/>
      <c r="D8" s="8">
        <v>2000000</v>
      </c>
      <c r="E8" s="8">
        <v>1800000</v>
      </c>
      <c r="F8" s="8">
        <v>2200000</v>
      </c>
      <c r="G8" s="21">
        <v>1.1000000000000001</v>
      </c>
      <c r="H8" s="8">
        <v>120000</v>
      </c>
      <c r="I8" s="25">
        <v>17</v>
      </c>
      <c r="J8" s="8">
        <v>43000</v>
      </c>
      <c r="K8" s="25">
        <v>11</v>
      </c>
      <c r="L8" s="8">
        <v>83</v>
      </c>
      <c r="M8" s="8">
        <v>56</v>
      </c>
      <c r="N8" s="8">
        <v>48</v>
      </c>
      <c r="O8" s="18" t="s">
        <v>185</v>
      </c>
    </row>
    <row r="10" spans="1:15" ht="22.05" customHeight="1" x14ac:dyDescent="0.5">
      <c r="A10" s="14" t="s">
        <v>187</v>
      </c>
    </row>
    <row r="11" spans="1:15" ht="30" customHeight="1" x14ac:dyDescent="0.2">
      <c r="A11" s="4" t="s">
        <v>168</v>
      </c>
      <c r="B11" s="4" t="s">
        <v>52</v>
      </c>
      <c r="C11" s="4" t="s">
        <v>169</v>
      </c>
      <c r="D11" s="4" t="s">
        <v>170</v>
      </c>
      <c r="E11" s="4" t="s">
        <v>171</v>
      </c>
      <c r="F11" s="4" t="s">
        <v>172</v>
      </c>
      <c r="G11" s="4" t="s">
        <v>173</v>
      </c>
      <c r="H11" s="4" t="s">
        <v>174</v>
      </c>
      <c r="I11" s="4" t="s">
        <v>175</v>
      </c>
      <c r="J11" s="4" t="s">
        <v>176</v>
      </c>
      <c r="K11" s="4" t="s">
        <v>177</v>
      </c>
      <c r="L11" s="4" t="s">
        <v>178</v>
      </c>
      <c r="M11" s="4" t="s">
        <v>179</v>
      </c>
      <c r="N11" s="4" t="s">
        <v>180</v>
      </c>
      <c r="O11" s="4" t="s">
        <v>53</v>
      </c>
    </row>
    <row r="12" spans="1:15" ht="18" x14ac:dyDescent="0.45">
      <c r="A12" s="5" t="s">
        <v>188</v>
      </c>
      <c r="B12" s="23" t="s">
        <v>189</v>
      </c>
      <c r="C12" s="23" t="s">
        <v>190</v>
      </c>
      <c r="D12" s="8">
        <v>2600000</v>
      </c>
      <c r="E12" s="8">
        <v>2100000</v>
      </c>
      <c r="F12" s="8">
        <v>3100000</v>
      </c>
      <c r="G12" s="21">
        <v>0.2</v>
      </c>
      <c r="H12" s="8">
        <v>60000</v>
      </c>
      <c r="I12" s="25">
        <v>-52</v>
      </c>
      <c r="J12" s="8">
        <v>25000</v>
      </c>
      <c r="K12" s="25">
        <v>-86</v>
      </c>
      <c r="L12" s="8">
        <v>88</v>
      </c>
      <c r="M12" s="8">
        <v>77</v>
      </c>
      <c r="N12" s="8">
        <v>74</v>
      </c>
      <c r="O12" s="18" t="s">
        <v>185</v>
      </c>
    </row>
    <row r="13" spans="1:15" ht="18" x14ac:dyDescent="0.45">
      <c r="A13" s="5" t="s">
        <v>191</v>
      </c>
      <c r="B13" s="23" t="s">
        <v>189</v>
      </c>
      <c r="C13" s="23" t="s">
        <v>190</v>
      </c>
      <c r="D13" s="8">
        <v>620000</v>
      </c>
      <c r="E13" s="8">
        <v>560000</v>
      </c>
      <c r="F13" s="8">
        <v>690000</v>
      </c>
      <c r="G13" s="21">
        <v>1.1000000000000001</v>
      </c>
      <c r="H13" s="8">
        <v>7300</v>
      </c>
      <c r="I13" s="25">
        <v>-66</v>
      </c>
      <c r="J13" s="8">
        <v>8400</v>
      </c>
      <c r="K13" s="25">
        <v>-80</v>
      </c>
      <c r="L13" s="8">
        <v>90</v>
      </c>
      <c r="M13" s="8">
        <v>82</v>
      </c>
      <c r="N13" s="8">
        <v>81</v>
      </c>
      <c r="O13" s="18" t="s">
        <v>185</v>
      </c>
    </row>
    <row r="14" spans="1:15" ht="18" x14ac:dyDescent="0.45">
      <c r="A14" s="5" t="s">
        <v>192</v>
      </c>
      <c r="B14" s="23" t="s">
        <v>189</v>
      </c>
      <c r="C14" s="23" t="s">
        <v>190</v>
      </c>
      <c r="D14" s="8">
        <v>560000</v>
      </c>
      <c r="E14" s="8">
        <v>500000</v>
      </c>
      <c r="F14" s="8">
        <v>610000</v>
      </c>
      <c r="G14" s="21">
        <v>0.3</v>
      </c>
      <c r="H14" s="8">
        <v>21000</v>
      </c>
      <c r="I14" s="25">
        <v>-57</v>
      </c>
      <c r="J14" s="8">
        <v>18000</v>
      </c>
      <c r="K14" s="25">
        <v>29</v>
      </c>
      <c r="L14" s="8">
        <v>67</v>
      </c>
      <c r="M14" s="8">
        <v>48</v>
      </c>
      <c r="N14" s="8">
        <v>45</v>
      </c>
      <c r="O14" s="18" t="s">
        <v>185</v>
      </c>
    </row>
    <row r="15" spans="1:15" ht="18" x14ac:dyDescent="0.45">
      <c r="A15" s="5" t="s">
        <v>193</v>
      </c>
      <c r="B15" s="23" t="s">
        <v>189</v>
      </c>
      <c r="C15" s="23" t="s">
        <v>190</v>
      </c>
      <c r="D15" s="8">
        <v>340000</v>
      </c>
      <c r="E15" s="8">
        <v>310000</v>
      </c>
      <c r="F15" s="8">
        <v>370000</v>
      </c>
      <c r="G15" s="21">
        <v>0.2</v>
      </c>
      <c r="H15" s="8">
        <v>44000</v>
      </c>
      <c r="I15" s="25">
        <v>222</v>
      </c>
      <c r="J15" s="8">
        <v>14000</v>
      </c>
      <c r="K15" s="25">
        <v>553</v>
      </c>
      <c r="L15" s="8">
        <v>25</v>
      </c>
      <c r="M15" s="8">
        <v>18</v>
      </c>
      <c r="N15" s="24" t="s">
        <v>35</v>
      </c>
      <c r="O15" s="18" t="s">
        <v>185</v>
      </c>
    </row>
    <row r="16" spans="1:15" ht="18" x14ac:dyDescent="0.45">
      <c r="A16" s="5" t="s">
        <v>194</v>
      </c>
      <c r="B16" s="23" t="s">
        <v>189</v>
      </c>
      <c r="C16" s="23" t="s">
        <v>190</v>
      </c>
      <c r="D16" s="8">
        <v>310000</v>
      </c>
      <c r="E16" s="8">
        <v>270000</v>
      </c>
      <c r="F16" s="8">
        <v>340000</v>
      </c>
      <c r="G16" s="21">
        <v>0.9</v>
      </c>
      <c r="H16" s="8">
        <v>9500</v>
      </c>
      <c r="I16" s="25">
        <v>-43</v>
      </c>
      <c r="J16" s="8">
        <v>4400</v>
      </c>
      <c r="K16" s="25">
        <v>-63</v>
      </c>
      <c r="L16" s="8">
        <v>84</v>
      </c>
      <c r="M16" s="8">
        <v>73</v>
      </c>
      <c r="N16" s="8">
        <v>70</v>
      </c>
      <c r="O16" s="18" t="s">
        <v>185</v>
      </c>
    </row>
    <row r="17" spans="1:15" ht="18" x14ac:dyDescent="0.45">
      <c r="A17" s="5" t="s">
        <v>195</v>
      </c>
      <c r="B17" s="23" t="s">
        <v>189</v>
      </c>
      <c r="C17" s="23" t="s">
        <v>190</v>
      </c>
      <c r="D17" s="8">
        <v>270000</v>
      </c>
      <c r="E17" s="8">
        <v>240000</v>
      </c>
      <c r="F17" s="8">
        <v>310000</v>
      </c>
      <c r="G17" s="21">
        <v>0.4</v>
      </c>
      <c r="H17" s="8">
        <v>6100</v>
      </c>
      <c r="I17" s="25">
        <v>-58</v>
      </c>
      <c r="J17" s="8">
        <v>4100</v>
      </c>
      <c r="K17" s="25">
        <v>-14</v>
      </c>
      <c r="L17" s="8">
        <v>94</v>
      </c>
      <c r="M17" s="8">
        <v>75</v>
      </c>
      <c r="N17" s="8">
        <v>72</v>
      </c>
      <c r="O17" s="18" t="s">
        <v>185</v>
      </c>
    </row>
    <row r="18" spans="1:15" ht="18" x14ac:dyDescent="0.45">
      <c r="A18" s="5" t="s">
        <v>196</v>
      </c>
      <c r="B18" s="23" t="s">
        <v>189</v>
      </c>
      <c r="C18" s="23" t="s">
        <v>190</v>
      </c>
      <c r="D18" s="8">
        <v>250000</v>
      </c>
      <c r="E18" s="8">
        <v>210000</v>
      </c>
      <c r="F18" s="8">
        <v>290000</v>
      </c>
      <c r="G18" s="21">
        <v>0.4</v>
      </c>
      <c r="H18" s="8">
        <v>34000</v>
      </c>
      <c r="I18" s="25">
        <v>627</v>
      </c>
      <c r="J18" s="8">
        <v>2700</v>
      </c>
      <c r="K18" s="25">
        <v>713</v>
      </c>
      <c r="L18" s="8">
        <v>62</v>
      </c>
      <c r="M18" s="8">
        <v>41</v>
      </c>
      <c r="N18" s="8">
        <v>40</v>
      </c>
      <c r="O18" s="18" t="s">
        <v>185</v>
      </c>
    </row>
    <row r="19" spans="1:15" ht="18" x14ac:dyDescent="0.45">
      <c r="A19" s="5" t="s">
        <v>197</v>
      </c>
      <c r="B19" s="23" t="s">
        <v>189</v>
      </c>
      <c r="C19" s="23" t="s">
        <v>198</v>
      </c>
      <c r="D19" s="8">
        <v>85000</v>
      </c>
      <c r="E19" s="8">
        <v>76000</v>
      </c>
      <c r="F19" s="8">
        <v>94000</v>
      </c>
      <c r="G19" s="21">
        <v>0.3</v>
      </c>
      <c r="H19" s="8">
        <v>2900</v>
      </c>
      <c r="I19" s="25">
        <v>-53</v>
      </c>
      <c r="J19" s="8">
        <v>2000</v>
      </c>
      <c r="K19" s="25">
        <v>-41</v>
      </c>
      <c r="L19" s="8">
        <v>66</v>
      </c>
      <c r="M19" s="8">
        <v>63</v>
      </c>
      <c r="N19" s="8">
        <v>55</v>
      </c>
      <c r="O19" s="18" t="s">
        <v>185</v>
      </c>
    </row>
    <row r="20" spans="1:15" ht="18" x14ac:dyDescent="0.45">
      <c r="A20" s="5" t="s">
        <v>199</v>
      </c>
      <c r="B20" s="23" t="s">
        <v>189</v>
      </c>
      <c r="C20" s="23" t="s">
        <v>190</v>
      </c>
      <c r="D20" s="8">
        <v>76000</v>
      </c>
      <c r="E20" s="8">
        <v>64000</v>
      </c>
      <c r="F20" s="8">
        <v>87000</v>
      </c>
      <c r="G20" s="21">
        <v>0.5</v>
      </c>
      <c r="H20" s="8">
        <v>960</v>
      </c>
      <c r="I20" s="25">
        <v>-59</v>
      </c>
      <c r="J20" s="8">
        <v>1000</v>
      </c>
      <c r="K20" s="25">
        <v>-40</v>
      </c>
      <c r="L20" s="8">
        <v>95</v>
      </c>
      <c r="M20" s="8">
        <v>95</v>
      </c>
      <c r="N20" s="8">
        <v>93</v>
      </c>
      <c r="O20" s="18" t="s">
        <v>185</v>
      </c>
    </row>
    <row r="21" spans="1:15" ht="18" x14ac:dyDescent="0.45">
      <c r="A21" s="5" t="s">
        <v>200</v>
      </c>
      <c r="B21" s="23" t="s">
        <v>189</v>
      </c>
      <c r="C21" s="23" t="s">
        <v>190</v>
      </c>
      <c r="D21" s="8">
        <v>63000</v>
      </c>
      <c r="E21" s="8">
        <v>51000</v>
      </c>
      <c r="F21" s="8">
        <v>81000</v>
      </c>
      <c r="G21" s="21">
        <v>0.2</v>
      </c>
      <c r="H21" s="24" t="s">
        <v>35</v>
      </c>
      <c r="I21" s="24" t="s">
        <v>35</v>
      </c>
      <c r="J21" s="24" t="s">
        <v>35</v>
      </c>
      <c r="K21" s="24" t="s">
        <v>35</v>
      </c>
      <c r="L21" s="8">
        <v>84</v>
      </c>
      <c r="M21" s="8">
        <v>75</v>
      </c>
      <c r="N21" s="8">
        <v>68</v>
      </c>
      <c r="O21" s="18" t="s">
        <v>185</v>
      </c>
    </row>
    <row r="22" spans="1:15" ht="18" x14ac:dyDescent="0.45">
      <c r="A22" s="5" t="s">
        <v>201</v>
      </c>
      <c r="B22" s="23" t="s">
        <v>189</v>
      </c>
      <c r="C22" s="23" t="s">
        <v>190</v>
      </c>
      <c r="D22" s="8">
        <v>35000</v>
      </c>
      <c r="E22" s="8">
        <v>31000</v>
      </c>
      <c r="F22" s="8">
        <v>38000</v>
      </c>
      <c r="G22" s="21">
        <v>0.1</v>
      </c>
      <c r="H22" s="8">
        <v>550</v>
      </c>
      <c r="I22" s="25">
        <v>-79</v>
      </c>
      <c r="J22" s="8">
        <v>570</v>
      </c>
      <c r="K22" s="25">
        <v>-75</v>
      </c>
      <c r="L22" s="8">
        <v>92</v>
      </c>
      <c r="M22" s="8">
        <v>79</v>
      </c>
      <c r="N22" s="8">
        <v>77</v>
      </c>
      <c r="O22" s="18" t="s">
        <v>185</v>
      </c>
    </row>
    <row r="23" spans="1:15" ht="18" x14ac:dyDescent="0.45">
      <c r="A23" s="5" t="s">
        <v>202</v>
      </c>
      <c r="B23" s="23" t="s">
        <v>189</v>
      </c>
      <c r="C23" s="23" t="s">
        <v>190</v>
      </c>
      <c r="D23" s="8">
        <v>23000</v>
      </c>
      <c r="E23" s="8">
        <v>20000</v>
      </c>
      <c r="F23" s="8">
        <v>25000</v>
      </c>
      <c r="G23" s="21">
        <v>0.5</v>
      </c>
      <c r="H23" s="8">
        <v>1300</v>
      </c>
      <c r="I23" s="25">
        <v>11</v>
      </c>
      <c r="J23" s="26" t="s">
        <v>203</v>
      </c>
      <c r="K23" s="25">
        <v>36</v>
      </c>
      <c r="L23" s="8">
        <v>75</v>
      </c>
      <c r="M23" s="8">
        <v>64</v>
      </c>
      <c r="N23" s="8">
        <v>63</v>
      </c>
      <c r="O23" s="18" t="s">
        <v>185</v>
      </c>
    </row>
    <row r="24" spans="1:15" ht="18" x14ac:dyDescent="0.45">
      <c r="A24" s="5" t="s">
        <v>204</v>
      </c>
      <c r="B24" s="23" t="s">
        <v>189</v>
      </c>
      <c r="C24" s="23" t="s">
        <v>190</v>
      </c>
      <c r="D24" s="8">
        <v>19000</v>
      </c>
      <c r="E24" s="8">
        <v>17000</v>
      </c>
      <c r="F24" s="8">
        <v>21000</v>
      </c>
      <c r="G24" s="26" t="s">
        <v>205</v>
      </c>
      <c r="H24" s="8">
        <v>1500</v>
      </c>
      <c r="I24" s="25">
        <v>84</v>
      </c>
      <c r="J24" s="8">
        <v>570</v>
      </c>
      <c r="K24" s="25">
        <v>135</v>
      </c>
      <c r="L24" s="8">
        <v>63</v>
      </c>
      <c r="M24" s="8">
        <v>44</v>
      </c>
      <c r="N24" s="8">
        <v>40</v>
      </c>
      <c r="O24" s="18" t="s">
        <v>185</v>
      </c>
    </row>
    <row r="25" spans="1:15" ht="18" x14ac:dyDescent="0.45">
      <c r="A25" s="5" t="s">
        <v>206</v>
      </c>
      <c r="B25" s="23" t="s">
        <v>189</v>
      </c>
      <c r="C25" s="23" t="s">
        <v>198</v>
      </c>
      <c r="D25" s="8">
        <v>16000</v>
      </c>
      <c r="E25" s="8">
        <v>14000</v>
      </c>
      <c r="F25" s="8">
        <v>19000</v>
      </c>
      <c r="G25" s="21">
        <v>0.2</v>
      </c>
      <c r="H25" s="26" t="s">
        <v>203</v>
      </c>
      <c r="I25" s="25">
        <v>-69</v>
      </c>
      <c r="J25" s="26" t="s">
        <v>203</v>
      </c>
      <c r="K25" s="25">
        <v>-58</v>
      </c>
      <c r="L25" s="8">
        <v>83</v>
      </c>
      <c r="M25" s="8">
        <v>76</v>
      </c>
      <c r="N25" s="8">
        <v>70</v>
      </c>
      <c r="O25" s="18" t="s">
        <v>185</v>
      </c>
    </row>
    <row r="26" spans="1:15" ht="18" x14ac:dyDescent="0.45">
      <c r="A26" s="5" t="s">
        <v>207</v>
      </c>
      <c r="B26" s="23" t="s">
        <v>189</v>
      </c>
      <c r="C26" s="23" t="s">
        <v>198</v>
      </c>
      <c r="D26" s="8">
        <v>14000</v>
      </c>
      <c r="E26" s="8">
        <v>13000</v>
      </c>
      <c r="F26" s="8">
        <v>15000</v>
      </c>
      <c r="G26" s="21">
        <v>0.3</v>
      </c>
      <c r="H26" s="8">
        <v>1100</v>
      </c>
      <c r="I26" s="25">
        <v>106</v>
      </c>
      <c r="J26" s="26" t="s">
        <v>203</v>
      </c>
      <c r="K26" s="25">
        <v>10</v>
      </c>
      <c r="L26" s="8">
        <v>77</v>
      </c>
      <c r="M26" s="8">
        <v>55</v>
      </c>
      <c r="N26" s="24" t="s">
        <v>35</v>
      </c>
      <c r="O26" s="18" t="s">
        <v>185</v>
      </c>
    </row>
    <row r="27" spans="1:15" ht="18" x14ac:dyDescent="0.45">
      <c r="A27" s="5" t="s">
        <v>208</v>
      </c>
      <c r="B27" s="23" t="s">
        <v>189</v>
      </c>
      <c r="C27" s="23" t="s">
        <v>209</v>
      </c>
      <c r="D27" s="8">
        <v>9100</v>
      </c>
      <c r="E27" s="8">
        <v>7200</v>
      </c>
      <c r="F27" s="8">
        <v>12000</v>
      </c>
      <c r="G27" s="21">
        <v>1.6</v>
      </c>
      <c r="H27" s="8">
        <v>1700</v>
      </c>
      <c r="I27" s="25">
        <v>1121</v>
      </c>
      <c r="J27" s="26" t="s">
        <v>203</v>
      </c>
      <c r="K27" s="25">
        <v>1172</v>
      </c>
      <c r="L27" s="8">
        <v>39</v>
      </c>
      <c r="M27" s="8">
        <v>22</v>
      </c>
      <c r="N27" s="24" t="s">
        <v>35</v>
      </c>
      <c r="O27" s="18" t="s">
        <v>185</v>
      </c>
    </row>
    <row r="28" spans="1:15" ht="18" x14ac:dyDescent="0.45">
      <c r="A28" s="5" t="s">
        <v>210</v>
      </c>
      <c r="B28" s="23" t="s">
        <v>189</v>
      </c>
      <c r="C28" s="23" t="s">
        <v>190</v>
      </c>
      <c r="D28" s="8">
        <v>8700</v>
      </c>
      <c r="E28" s="8">
        <v>7800</v>
      </c>
      <c r="F28" s="8">
        <v>9600</v>
      </c>
      <c r="G28" s="26" t="s">
        <v>205</v>
      </c>
      <c r="H28" s="8">
        <v>860</v>
      </c>
      <c r="I28" s="25">
        <v>135</v>
      </c>
      <c r="J28" s="26" t="s">
        <v>211</v>
      </c>
      <c r="K28" s="25">
        <v>-47</v>
      </c>
      <c r="L28" s="8">
        <v>66</v>
      </c>
      <c r="M28" s="8">
        <v>52</v>
      </c>
      <c r="N28" s="8">
        <v>46</v>
      </c>
      <c r="O28" s="18" t="s">
        <v>185</v>
      </c>
    </row>
    <row r="29" spans="1:15" ht="18" x14ac:dyDescent="0.45">
      <c r="A29" s="5" t="s">
        <v>212</v>
      </c>
      <c r="B29" s="23" t="s">
        <v>189</v>
      </c>
      <c r="C29" s="23" t="s">
        <v>209</v>
      </c>
      <c r="D29" s="8">
        <v>2200</v>
      </c>
      <c r="E29" s="8">
        <v>1900</v>
      </c>
      <c r="F29" s="8">
        <v>2600</v>
      </c>
      <c r="G29" s="21">
        <v>0.3</v>
      </c>
      <c r="H29" s="26" t="s">
        <v>211</v>
      </c>
      <c r="I29" s="25">
        <v>26</v>
      </c>
      <c r="J29" s="26" t="s">
        <v>213</v>
      </c>
      <c r="K29" s="25">
        <v>-30</v>
      </c>
      <c r="L29" s="8">
        <v>89</v>
      </c>
      <c r="M29" s="8">
        <v>66</v>
      </c>
      <c r="N29" s="8">
        <v>46</v>
      </c>
      <c r="O29" s="18" t="s">
        <v>185</v>
      </c>
    </row>
    <row r="30" spans="1:15" ht="18" x14ac:dyDescent="0.45">
      <c r="A30" s="5" t="s">
        <v>214</v>
      </c>
      <c r="B30" s="23" t="s">
        <v>189</v>
      </c>
      <c r="C30" s="23" t="s">
        <v>209</v>
      </c>
      <c r="D30" s="8">
        <v>1200</v>
      </c>
      <c r="E30" s="8">
        <v>1000</v>
      </c>
      <c r="F30" s="8">
        <v>1400</v>
      </c>
      <c r="G30" s="21">
        <v>0.2</v>
      </c>
      <c r="H30" s="26" t="s">
        <v>213</v>
      </c>
      <c r="I30" s="25">
        <v>1</v>
      </c>
      <c r="J30" s="26" t="s">
        <v>213</v>
      </c>
      <c r="K30" s="25">
        <v>-49</v>
      </c>
      <c r="L30" s="8">
        <v>82</v>
      </c>
      <c r="M30" s="8">
        <v>69</v>
      </c>
      <c r="N30" s="8">
        <v>62</v>
      </c>
      <c r="O30" s="18" t="s">
        <v>185</v>
      </c>
    </row>
    <row r="31" spans="1:15" ht="18" x14ac:dyDescent="0.45">
      <c r="A31" s="5" t="s">
        <v>215</v>
      </c>
      <c r="B31" s="23" t="s">
        <v>189</v>
      </c>
      <c r="C31" s="23" t="s">
        <v>190</v>
      </c>
      <c r="D31" s="8">
        <v>700</v>
      </c>
      <c r="E31" s="8">
        <v>620</v>
      </c>
      <c r="F31" s="8">
        <v>780</v>
      </c>
      <c r="G31" s="26" t="s">
        <v>205</v>
      </c>
      <c r="H31" s="26" t="s">
        <v>213</v>
      </c>
      <c r="I31" s="25">
        <v>5</v>
      </c>
      <c r="J31" s="26" t="s">
        <v>213</v>
      </c>
      <c r="K31" s="25">
        <v>31</v>
      </c>
      <c r="L31" s="24" t="s">
        <v>35</v>
      </c>
      <c r="M31" s="8">
        <v>42</v>
      </c>
      <c r="N31" s="24" t="s">
        <v>35</v>
      </c>
      <c r="O31" s="18" t="s">
        <v>185</v>
      </c>
    </row>
    <row r="33" spans="1:13" ht="18" customHeight="1" x14ac:dyDescent="0.2">
      <c r="A33" s="33" t="s">
        <v>216</v>
      </c>
      <c r="B33" s="34"/>
      <c r="C33" s="34"/>
      <c r="D33" s="34"/>
      <c r="E33" s="34"/>
      <c r="F33" s="34"/>
      <c r="G33" s="34"/>
      <c r="H33" s="34"/>
      <c r="I33" s="34"/>
      <c r="J33" s="34"/>
      <c r="K33" s="34"/>
      <c r="L33" s="34"/>
      <c r="M33" s="34"/>
    </row>
    <row r="35" spans="1:13" ht="22.05" customHeight="1" x14ac:dyDescent="0.5">
      <c r="A35" s="14" t="s">
        <v>217</v>
      </c>
    </row>
    <row r="36" spans="1:13" ht="31.95" customHeight="1" x14ac:dyDescent="0.2">
      <c r="A36" s="35" t="s">
        <v>218</v>
      </c>
      <c r="B36" s="34"/>
      <c r="C36" s="34"/>
      <c r="D36" s="34"/>
      <c r="E36" s="34"/>
      <c r="F36" s="34"/>
      <c r="G36" s="34"/>
      <c r="H36" s="34"/>
      <c r="I36" s="34"/>
      <c r="J36" s="34"/>
      <c r="K36" s="34"/>
      <c r="L36" s="34"/>
      <c r="M36" s="34"/>
    </row>
    <row r="37" spans="1:13" ht="18" customHeight="1" x14ac:dyDescent="0.2">
      <c r="A37" s="35" t="s">
        <v>219</v>
      </c>
      <c r="B37" s="34"/>
      <c r="C37" s="34"/>
      <c r="D37" s="34"/>
      <c r="E37" s="34"/>
      <c r="F37" s="34"/>
      <c r="G37" s="34"/>
      <c r="H37" s="34"/>
      <c r="I37" s="34"/>
      <c r="J37" s="34"/>
      <c r="K37" s="34"/>
      <c r="L37" s="34"/>
      <c r="M37" s="34"/>
    </row>
    <row r="38" spans="1:13" ht="31.95" customHeight="1" x14ac:dyDescent="0.2">
      <c r="A38" s="35" t="s">
        <v>220</v>
      </c>
      <c r="B38" s="34"/>
      <c r="C38" s="34"/>
      <c r="D38" s="34"/>
      <c r="E38" s="34"/>
      <c r="F38" s="34"/>
      <c r="G38" s="34"/>
      <c r="H38" s="34"/>
      <c r="I38" s="34"/>
      <c r="J38" s="34"/>
      <c r="K38" s="34"/>
      <c r="L38" s="34"/>
      <c r="M38" s="34"/>
    </row>
    <row r="39" spans="1:13" ht="18" customHeight="1" x14ac:dyDescent="0.2">
      <c r="A39" s="35" t="s">
        <v>221</v>
      </c>
      <c r="B39" s="34"/>
      <c r="C39" s="34"/>
      <c r="D39" s="34"/>
      <c r="E39" s="34"/>
      <c r="F39" s="34"/>
      <c r="G39" s="34"/>
      <c r="H39" s="34"/>
      <c r="I39" s="34"/>
      <c r="J39" s="34"/>
      <c r="K39" s="34"/>
      <c r="L39" s="34"/>
      <c r="M39" s="34"/>
    </row>
    <row r="41" spans="1:13" ht="22.05" customHeight="1" x14ac:dyDescent="0.5">
      <c r="A41" s="14" t="s">
        <v>222</v>
      </c>
    </row>
    <row r="42" spans="1:13" ht="31.95" customHeight="1" x14ac:dyDescent="0.2">
      <c r="A42" s="35" t="s">
        <v>223</v>
      </c>
      <c r="B42" s="34"/>
      <c r="C42" s="34"/>
      <c r="D42" s="34"/>
      <c r="E42" s="34"/>
      <c r="F42" s="34"/>
      <c r="G42" s="34"/>
      <c r="H42" s="34"/>
      <c r="I42" s="34"/>
      <c r="J42" s="34"/>
      <c r="K42" s="34"/>
      <c r="L42" s="34"/>
      <c r="M42" s="34"/>
    </row>
    <row r="43" spans="1:13" ht="18" customHeight="1" x14ac:dyDescent="0.2">
      <c r="A43" s="35" t="s">
        <v>224</v>
      </c>
      <c r="B43" s="34"/>
      <c r="C43" s="34"/>
      <c r="D43" s="34"/>
      <c r="E43" s="34"/>
      <c r="F43" s="34"/>
      <c r="G43" s="34"/>
      <c r="H43" s="34"/>
      <c r="I43" s="34"/>
      <c r="J43" s="34"/>
      <c r="K43" s="34"/>
      <c r="L43" s="34"/>
      <c r="M43" s="34"/>
    </row>
    <row r="44" spans="1:13" ht="31.95" customHeight="1" x14ac:dyDescent="0.2">
      <c r="A44" s="35" t="s">
        <v>225</v>
      </c>
      <c r="B44" s="34"/>
      <c r="C44" s="34"/>
      <c r="D44" s="34"/>
      <c r="E44" s="34"/>
      <c r="F44" s="34"/>
      <c r="G44" s="34"/>
      <c r="H44" s="34"/>
      <c r="I44" s="34"/>
      <c r="J44" s="34"/>
      <c r="K44" s="34"/>
      <c r="L44" s="34"/>
      <c r="M44" s="34"/>
    </row>
    <row r="45" spans="1:13" ht="18" customHeight="1" x14ac:dyDescent="0.2">
      <c r="A45" s="35" t="s">
        <v>226</v>
      </c>
      <c r="B45" s="34"/>
      <c r="C45" s="34"/>
      <c r="D45" s="34"/>
      <c r="E45" s="34"/>
      <c r="F45" s="34"/>
      <c r="G45" s="34"/>
      <c r="H45" s="34"/>
      <c r="I45" s="34"/>
      <c r="J45" s="34"/>
      <c r="K45" s="34"/>
      <c r="L45" s="34"/>
      <c r="M45" s="34"/>
    </row>
    <row r="46" spans="1:13" ht="18" customHeight="1" x14ac:dyDescent="0.2">
      <c r="A46" s="35" t="s">
        <v>227</v>
      </c>
      <c r="B46" s="34"/>
      <c r="C46" s="34"/>
      <c r="D46" s="34"/>
      <c r="E46" s="34"/>
      <c r="F46" s="34"/>
      <c r="G46" s="34"/>
      <c r="H46" s="34"/>
      <c r="I46" s="34"/>
      <c r="J46" s="34"/>
      <c r="K46" s="34"/>
      <c r="L46" s="34"/>
      <c r="M46" s="34"/>
    </row>
    <row r="48" spans="1:13" ht="22.05" customHeight="1" x14ac:dyDescent="0.5">
      <c r="A48" s="14" t="s">
        <v>228</v>
      </c>
    </row>
    <row r="49" spans="1:13" ht="31.95" customHeight="1" x14ac:dyDescent="0.2">
      <c r="A49" s="35" t="s">
        <v>229</v>
      </c>
      <c r="B49" s="34"/>
      <c r="C49" s="34"/>
      <c r="D49" s="34"/>
      <c r="E49" s="34"/>
      <c r="F49" s="34"/>
      <c r="G49" s="34"/>
      <c r="H49" s="34"/>
      <c r="I49" s="34"/>
      <c r="J49" s="34"/>
      <c r="K49" s="34"/>
      <c r="L49" s="34"/>
      <c r="M49" s="34"/>
    </row>
    <row r="50" spans="1:13" ht="31.95" customHeight="1" x14ac:dyDescent="0.2">
      <c r="A50" s="35" t="s">
        <v>230</v>
      </c>
      <c r="B50" s="34"/>
      <c r="C50" s="34"/>
      <c r="D50" s="34"/>
      <c r="E50" s="34"/>
      <c r="F50" s="34"/>
      <c r="G50" s="34"/>
      <c r="H50" s="34"/>
      <c r="I50" s="34"/>
      <c r="J50" s="34"/>
      <c r="K50" s="34"/>
      <c r="L50" s="34"/>
      <c r="M50" s="34"/>
    </row>
    <row r="51" spans="1:13" ht="18" customHeight="1" x14ac:dyDescent="0.2">
      <c r="A51" s="35" t="s">
        <v>231</v>
      </c>
      <c r="B51" s="34"/>
      <c r="C51" s="34"/>
      <c r="D51" s="34"/>
      <c r="E51" s="34"/>
      <c r="F51" s="34"/>
      <c r="G51" s="34"/>
      <c r="H51" s="34"/>
      <c r="I51" s="34"/>
      <c r="J51" s="34"/>
      <c r="K51" s="34"/>
      <c r="L51" s="34"/>
      <c r="M51" s="34"/>
    </row>
    <row r="52" spans="1:13" ht="18" customHeight="1" x14ac:dyDescent="0.2">
      <c r="A52" s="35" t="s">
        <v>232</v>
      </c>
      <c r="B52" s="34"/>
      <c r="C52" s="34"/>
      <c r="D52" s="34"/>
      <c r="E52" s="34"/>
      <c r="F52" s="34"/>
      <c r="G52" s="34"/>
      <c r="H52" s="34"/>
      <c r="I52" s="34"/>
      <c r="J52" s="34"/>
      <c r="K52" s="34"/>
      <c r="L52" s="34"/>
      <c r="M52" s="34"/>
    </row>
    <row r="53" spans="1:13" ht="18" customHeight="1" x14ac:dyDescent="0.2">
      <c r="A53" s="35" t="s">
        <v>233</v>
      </c>
      <c r="B53" s="34"/>
      <c r="C53" s="34"/>
      <c r="D53" s="34"/>
      <c r="E53" s="34"/>
      <c r="F53" s="34"/>
      <c r="G53" s="34"/>
      <c r="H53" s="34"/>
      <c r="I53" s="34"/>
      <c r="J53" s="34"/>
      <c r="K53" s="34"/>
      <c r="L53" s="34"/>
      <c r="M53" s="34"/>
    </row>
    <row r="54" spans="1:13" ht="18" customHeight="1" x14ac:dyDescent="0.2">
      <c r="A54" s="35" t="s">
        <v>234</v>
      </c>
      <c r="B54" s="34"/>
      <c r="C54" s="34"/>
      <c r="D54" s="34"/>
      <c r="E54" s="34"/>
      <c r="F54" s="34"/>
      <c r="G54" s="34"/>
      <c r="H54" s="34"/>
      <c r="I54" s="34"/>
      <c r="J54" s="34"/>
      <c r="K54" s="34"/>
      <c r="L54" s="34"/>
      <c r="M54" s="34"/>
    </row>
    <row r="55" spans="1:13" ht="18" customHeight="1" x14ac:dyDescent="0.2">
      <c r="A55" s="35" t="s">
        <v>235</v>
      </c>
      <c r="B55" s="34"/>
      <c r="C55" s="34"/>
      <c r="D55" s="34"/>
      <c r="E55" s="34"/>
      <c r="F55" s="34"/>
      <c r="G55" s="34"/>
      <c r="H55" s="34"/>
      <c r="I55" s="34"/>
      <c r="J55" s="34"/>
      <c r="K55" s="34"/>
      <c r="L55" s="34"/>
      <c r="M55" s="34"/>
    </row>
    <row r="57" spans="1:13" ht="22.05" customHeight="1" x14ac:dyDescent="0.5">
      <c r="A57" s="14" t="s">
        <v>236</v>
      </c>
    </row>
    <row r="58" spans="1:13" ht="18" customHeight="1" x14ac:dyDescent="0.2">
      <c r="A58" s="35" t="s">
        <v>237</v>
      </c>
      <c r="B58" s="34"/>
      <c r="C58" s="34"/>
      <c r="D58" s="34"/>
      <c r="E58" s="34"/>
      <c r="F58" s="34"/>
      <c r="G58" s="34"/>
      <c r="H58" s="34"/>
      <c r="I58" s="34"/>
      <c r="J58" s="34"/>
      <c r="K58" s="34"/>
      <c r="L58" s="34"/>
      <c r="M58" s="34"/>
    </row>
    <row r="59" spans="1:13" ht="18" customHeight="1" x14ac:dyDescent="0.2">
      <c r="A59" s="35" t="s">
        <v>238</v>
      </c>
      <c r="B59" s="34"/>
      <c r="C59" s="34"/>
      <c r="D59" s="34"/>
      <c r="E59" s="34"/>
      <c r="F59" s="34"/>
      <c r="G59" s="34"/>
      <c r="H59" s="34"/>
      <c r="I59" s="34"/>
      <c r="J59" s="34"/>
      <c r="K59" s="34"/>
      <c r="L59" s="34"/>
      <c r="M59" s="34"/>
    </row>
    <row r="60" spans="1:13" ht="18" customHeight="1" x14ac:dyDescent="0.2">
      <c r="A60" s="35" t="s">
        <v>239</v>
      </c>
      <c r="B60" s="34"/>
      <c r="C60" s="34"/>
      <c r="D60" s="34"/>
      <c r="E60" s="34"/>
      <c r="F60" s="34"/>
      <c r="G60" s="34"/>
      <c r="H60" s="34"/>
      <c r="I60" s="34"/>
      <c r="J60" s="34"/>
      <c r="K60" s="34"/>
      <c r="L60" s="34"/>
      <c r="M60" s="34"/>
    </row>
    <row r="61" spans="1:13" ht="18" customHeight="1" x14ac:dyDescent="0.2">
      <c r="A61" s="35" t="s">
        <v>240</v>
      </c>
      <c r="B61" s="34"/>
      <c r="C61" s="34"/>
      <c r="D61" s="34"/>
      <c r="E61" s="34"/>
      <c r="F61" s="34"/>
      <c r="G61" s="34"/>
      <c r="H61" s="34"/>
      <c r="I61" s="34"/>
      <c r="J61" s="34"/>
      <c r="K61" s="34"/>
      <c r="L61" s="34"/>
      <c r="M61" s="34"/>
    </row>
    <row r="62" spans="1:13" ht="18" customHeight="1" x14ac:dyDescent="0.2">
      <c r="A62" s="35" t="s">
        <v>241</v>
      </c>
      <c r="B62" s="34"/>
      <c r="C62" s="34"/>
      <c r="D62" s="34"/>
      <c r="E62" s="34"/>
      <c r="F62" s="34"/>
      <c r="G62" s="34"/>
      <c r="H62" s="34"/>
      <c r="I62" s="34"/>
      <c r="J62" s="34"/>
      <c r="K62" s="34"/>
      <c r="L62" s="34"/>
      <c r="M62" s="34"/>
    </row>
    <row r="63" spans="1:13" ht="18" customHeight="1" x14ac:dyDescent="0.2">
      <c r="A63" s="35" t="s">
        <v>242</v>
      </c>
      <c r="B63" s="34"/>
      <c r="C63" s="34"/>
      <c r="D63" s="34"/>
      <c r="E63" s="34"/>
      <c r="F63" s="34"/>
      <c r="G63" s="34"/>
      <c r="H63" s="34"/>
      <c r="I63" s="34"/>
      <c r="J63" s="34"/>
      <c r="K63" s="34"/>
      <c r="L63" s="34"/>
      <c r="M63" s="34"/>
    </row>
  </sheetData>
  <mergeCells count="24">
    <mergeCell ref="A2:M2"/>
    <mergeCell ref="A42:M42"/>
    <mergeCell ref="A63:M63"/>
    <mergeCell ref="A52:M52"/>
    <mergeCell ref="A44:M44"/>
    <mergeCell ref="A58:M58"/>
    <mergeCell ref="A39:M39"/>
    <mergeCell ref="A59:M59"/>
    <mergeCell ref="A51:M51"/>
    <mergeCell ref="A49:M49"/>
    <mergeCell ref="A60:M60"/>
    <mergeCell ref="A45:M45"/>
    <mergeCell ref="A61:M61"/>
    <mergeCell ref="A54:M54"/>
    <mergeCell ref="A46:M46"/>
    <mergeCell ref="A50:M50"/>
    <mergeCell ref="A55:M55"/>
    <mergeCell ref="A33:M33"/>
    <mergeCell ref="A62:M62"/>
    <mergeCell ref="A53:M53"/>
    <mergeCell ref="A43:M43"/>
    <mergeCell ref="A38:M38"/>
    <mergeCell ref="A36:M36"/>
    <mergeCell ref="A37:M37"/>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110"/>
  <sheetViews>
    <sheetView showGridLines="0" workbookViewId="0"/>
  </sheetViews>
  <sheetFormatPr defaultRowHeight="13.2" x14ac:dyDescent="0.2"/>
  <cols>
    <col min="1" max="1" width="40" customWidth="1"/>
    <col min="2" max="11" width="15" customWidth="1"/>
  </cols>
  <sheetData>
    <row r="1" spans="1:9" ht="25.95" customHeight="1" x14ac:dyDescent="0.6">
      <c r="A1" s="1" t="s">
        <v>36</v>
      </c>
    </row>
    <row r="2" spans="1:9" ht="31.95" customHeight="1" x14ac:dyDescent="0.2">
      <c r="A2" s="33" t="s">
        <v>243</v>
      </c>
      <c r="B2" s="34"/>
      <c r="C2" s="34"/>
      <c r="D2" s="34"/>
      <c r="E2" s="34"/>
      <c r="F2" s="34"/>
      <c r="G2" s="34"/>
      <c r="H2" s="34"/>
      <c r="I2" s="34"/>
    </row>
    <row r="4" spans="1:9" ht="22.05" customHeight="1" x14ac:dyDescent="0.5">
      <c r="A4" s="14" t="s">
        <v>46</v>
      </c>
    </row>
    <row r="5" spans="1:9" ht="30" customHeight="1" x14ac:dyDescent="0.2">
      <c r="A5" s="4" t="s">
        <v>47</v>
      </c>
      <c r="B5" s="4" t="s">
        <v>50</v>
      </c>
      <c r="C5" s="4" t="s">
        <v>68</v>
      </c>
      <c r="D5" s="4" t="s">
        <v>69</v>
      </c>
      <c r="E5" s="4" t="s">
        <v>51</v>
      </c>
      <c r="F5" s="4" t="s">
        <v>52</v>
      </c>
      <c r="G5" s="4" t="s">
        <v>53</v>
      </c>
    </row>
    <row r="6" spans="1:9" ht="18" x14ac:dyDescent="0.45">
      <c r="A6" s="15">
        <v>2015</v>
      </c>
      <c r="B6" s="8">
        <v>2690</v>
      </c>
      <c r="C6" s="8">
        <v>1930</v>
      </c>
      <c r="D6" s="8">
        <v>760</v>
      </c>
      <c r="E6" s="16" t="s">
        <v>35</v>
      </c>
      <c r="F6" s="17" t="s">
        <v>54</v>
      </c>
      <c r="G6" s="18" t="s">
        <v>244</v>
      </c>
    </row>
    <row r="7" spans="1:9" ht="18" x14ac:dyDescent="0.45">
      <c r="A7" s="15">
        <v>2016</v>
      </c>
      <c r="B7" s="8">
        <v>4575</v>
      </c>
      <c r="C7" s="8">
        <v>3189</v>
      </c>
      <c r="D7" s="8">
        <v>1386</v>
      </c>
      <c r="E7" s="16">
        <f t="shared" ref="E7:E16" si="0">IF(B6="","",B7/B6-1)</f>
        <v>0.7007434944237918</v>
      </c>
      <c r="F7" s="17" t="s">
        <v>54</v>
      </c>
      <c r="G7" s="18" t="s">
        <v>244</v>
      </c>
    </row>
    <row r="8" spans="1:9" ht="18" x14ac:dyDescent="0.45">
      <c r="A8" s="15">
        <v>2017</v>
      </c>
      <c r="B8" s="8">
        <v>5826</v>
      </c>
      <c r="C8" s="8">
        <v>3931</v>
      </c>
      <c r="D8" s="8">
        <v>1895</v>
      </c>
      <c r="E8" s="16">
        <f t="shared" si="0"/>
        <v>0.27344262295081978</v>
      </c>
      <c r="F8" s="17" t="s">
        <v>54</v>
      </c>
      <c r="G8" s="18" t="s">
        <v>244</v>
      </c>
    </row>
    <row r="9" spans="1:9" ht="18" x14ac:dyDescent="0.45">
      <c r="A9" s="15">
        <v>2018</v>
      </c>
      <c r="B9" s="8">
        <v>7007</v>
      </c>
      <c r="C9" s="8">
        <v>4591</v>
      </c>
      <c r="D9" s="8">
        <v>2416</v>
      </c>
      <c r="E9" s="16">
        <f t="shared" si="0"/>
        <v>0.20271198077583241</v>
      </c>
      <c r="F9" s="17" t="s">
        <v>54</v>
      </c>
      <c r="G9" s="18" t="s">
        <v>244</v>
      </c>
    </row>
    <row r="10" spans="1:9" ht="18" x14ac:dyDescent="0.45">
      <c r="A10" s="15">
        <v>2019</v>
      </c>
      <c r="B10" s="8">
        <v>6642</v>
      </c>
      <c r="C10" s="8">
        <v>4387</v>
      </c>
      <c r="D10" s="8">
        <v>2255</v>
      </c>
      <c r="E10" s="16">
        <f t="shared" si="0"/>
        <v>-5.2090766376480691E-2</v>
      </c>
      <c r="F10" s="17" t="s">
        <v>54</v>
      </c>
      <c r="G10" s="18" t="s">
        <v>244</v>
      </c>
    </row>
    <row r="11" spans="1:9" ht="18" x14ac:dyDescent="0.45">
      <c r="A11" s="15">
        <v>2020</v>
      </c>
      <c r="B11" s="8">
        <v>5867</v>
      </c>
      <c r="C11" s="8">
        <v>3902</v>
      </c>
      <c r="D11" s="8">
        <v>1965</v>
      </c>
      <c r="E11" s="16">
        <f t="shared" si="0"/>
        <v>-0.1166817223727793</v>
      </c>
      <c r="F11" s="17" t="s">
        <v>54</v>
      </c>
      <c r="G11" s="18" t="s">
        <v>244</v>
      </c>
    </row>
    <row r="12" spans="1:9" ht="18" x14ac:dyDescent="0.45">
      <c r="A12" s="15">
        <v>2021</v>
      </c>
      <c r="B12" s="8">
        <v>7978</v>
      </c>
      <c r="C12" s="8">
        <v>5261</v>
      </c>
      <c r="D12" s="8">
        <v>2717</v>
      </c>
      <c r="E12" s="16">
        <f t="shared" si="0"/>
        <v>0.35980910175558201</v>
      </c>
      <c r="F12" s="17" t="s">
        <v>54</v>
      </c>
      <c r="G12" s="18" t="s">
        <v>244</v>
      </c>
    </row>
    <row r="13" spans="1:9" ht="18" x14ac:dyDescent="0.45">
      <c r="A13" s="15">
        <v>2022</v>
      </c>
      <c r="B13" s="8">
        <v>13221</v>
      </c>
      <c r="C13" s="8">
        <v>8701</v>
      </c>
      <c r="D13" s="8">
        <v>4519</v>
      </c>
      <c r="E13" s="16">
        <f t="shared" si="0"/>
        <v>0.65718225119077456</v>
      </c>
      <c r="F13" s="17" t="s">
        <v>54</v>
      </c>
      <c r="G13" s="18" t="s">
        <v>244</v>
      </c>
    </row>
    <row r="14" spans="1:9" ht="18" x14ac:dyDescent="0.45">
      <c r="A14" s="15">
        <v>2023</v>
      </c>
      <c r="B14" s="8">
        <v>15055</v>
      </c>
      <c r="C14" s="8">
        <v>9710</v>
      </c>
      <c r="D14" s="8">
        <v>5345</v>
      </c>
      <c r="E14" s="16">
        <f t="shared" si="0"/>
        <v>0.13871870509038642</v>
      </c>
      <c r="F14" s="17" t="s">
        <v>54</v>
      </c>
      <c r="G14" s="18" t="s">
        <v>244</v>
      </c>
    </row>
    <row r="15" spans="1:9" ht="18" x14ac:dyDescent="0.45">
      <c r="A15" s="15">
        <v>2024</v>
      </c>
      <c r="B15" s="8">
        <v>14829</v>
      </c>
      <c r="C15" s="8">
        <v>9504</v>
      </c>
      <c r="D15" s="8">
        <v>5324</v>
      </c>
      <c r="E15" s="16">
        <f t="shared" si="0"/>
        <v>-1.501162404516776E-2</v>
      </c>
      <c r="F15" s="17" t="s">
        <v>54</v>
      </c>
      <c r="G15" s="18" t="s">
        <v>244</v>
      </c>
    </row>
    <row r="16" spans="1:9" ht="18" x14ac:dyDescent="0.45">
      <c r="A16" s="27">
        <v>2025</v>
      </c>
      <c r="B16" s="12">
        <v>13530</v>
      </c>
      <c r="C16" s="12">
        <v>8565</v>
      </c>
      <c r="D16" s="12">
        <v>4963</v>
      </c>
      <c r="E16" s="28">
        <f t="shared" si="0"/>
        <v>-8.7598624317216212E-2</v>
      </c>
      <c r="F16" s="29" t="s">
        <v>63</v>
      </c>
      <c r="G16" s="30" t="s">
        <v>245</v>
      </c>
    </row>
    <row r="17" spans="1:9" ht="18" customHeight="1" x14ac:dyDescent="0.2">
      <c r="A17" s="33" t="s">
        <v>56</v>
      </c>
      <c r="B17" s="34"/>
      <c r="C17" s="34"/>
      <c r="D17" s="34"/>
      <c r="E17" s="34"/>
      <c r="F17" s="34"/>
      <c r="G17" s="34"/>
      <c r="H17" s="34"/>
      <c r="I17" s="34"/>
    </row>
    <row r="19" spans="1:9" ht="22.05" customHeight="1" x14ac:dyDescent="0.5">
      <c r="A19" s="14" t="s">
        <v>57</v>
      </c>
    </row>
    <row r="20" spans="1:9" ht="30" customHeight="1" x14ac:dyDescent="0.2">
      <c r="A20" s="4" t="s">
        <v>58</v>
      </c>
      <c r="B20" s="4" t="s">
        <v>59</v>
      </c>
      <c r="C20" s="4" t="s">
        <v>60</v>
      </c>
      <c r="D20" s="4" t="s">
        <v>61</v>
      </c>
      <c r="E20" s="4" t="s">
        <v>32</v>
      </c>
      <c r="F20" s="4" t="s">
        <v>52</v>
      </c>
      <c r="G20" s="4" t="s">
        <v>53</v>
      </c>
    </row>
    <row r="21" spans="1:9" ht="49.95" customHeight="1" x14ac:dyDescent="0.45">
      <c r="A21" s="3" t="s">
        <v>50</v>
      </c>
      <c r="B21" s="3" t="s">
        <v>246</v>
      </c>
      <c r="C21" s="8">
        <v>8942</v>
      </c>
      <c r="D21" s="8">
        <v>10985</v>
      </c>
      <c r="E21" s="9">
        <f>C21/D21-1</f>
        <v>-0.18598088302230309</v>
      </c>
      <c r="F21" s="17" t="s">
        <v>63</v>
      </c>
      <c r="G21" s="18" t="s">
        <v>247</v>
      </c>
    </row>
    <row r="22" spans="1:9" ht="18" customHeight="1" x14ac:dyDescent="0.2">
      <c r="A22" s="33" t="s">
        <v>248</v>
      </c>
      <c r="B22" s="34"/>
      <c r="C22" s="34"/>
      <c r="D22" s="34"/>
      <c r="E22" s="34"/>
      <c r="F22" s="34"/>
      <c r="G22" s="34"/>
      <c r="H22" s="34"/>
      <c r="I22" s="34"/>
    </row>
    <row r="24" spans="1:9" ht="22.05" customHeight="1" x14ac:dyDescent="0.5">
      <c r="A24" s="14" t="s">
        <v>249</v>
      </c>
    </row>
    <row r="25" spans="1:9" ht="30" customHeight="1" x14ac:dyDescent="0.2">
      <c r="A25" s="4" t="s">
        <v>52</v>
      </c>
      <c r="B25" s="4" t="s">
        <v>68</v>
      </c>
      <c r="C25" s="4" t="s">
        <v>69</v>
      </c>
      <c r="D25" s="4" t="s">
        <v>53</v>
      </c>
    </row>
    <row r="26" spans="1:9" ht="18" x14ac:dyDescent="0.45">
      <c r="A26" s="3" t="s">
        <v>13</v>
      </c>
      <c r="B26" s="8">
        <v>9504</v>
      </c>
      <c r="C26" s="8">
        <v>5324</v>
      </c>
      <c r="D26" s="18" t="s">
        <v>250</v>
      </c>
    </row>
    <row r="28" spans="1:9" ht="22.05" customHeight="1" x14ac:dyDescent="0.5">
      <c r="A28" s="14" t="s">
        <v>251</v>
      </c>
    </row>
    <row r="29" spans="1:9" ht="30" customHeight="1" x14ac:dyDescent="0.2">
      <c r="A29" s="4" t="s">
        <v>52</v>
      </c>
      <c r="B29" s="4" t="s">
        <v>68</v>
      </c>
      <c r="C29" s="4" t="s">
        <v>69</v>
      </c>
      <c r="D29" s="4" t="s">
        <v>50</v>
      </c>
      <c r="E29" s="4" t="s">
        <v>53</v>
      </c>
    </row>
    <row r="30" spans="1:9" ht="18" x14ac:dyDescent="0.45">
      <c r="A30" s="3" t="s">
        <v>252</v>
      </c>
      <c r="B30" s="8">
        <v>12</v>
      </c>
      <c r="C30" s="8">
        <v>18</v>
      </c>
      <c r="D30" s="8">
        <v>30</v>
      </c>
      <c r="E30" s="18" t="s">
        <v>250</v>
      </c>
    </row>
    <row r="31" spans="1:9" ht="18" x14ac:dyDescent="0.45">
      <c r="A31" s="3" t="s">
        <v>253</v>
      </c>
      <c r="B31" s="8">
        <v>0</v>
      </c>
      <c r="C31" s="8">
        <v>0</v>
      </c>
      <c r="D31" s="8">
        <v>0</v>
      </c>
      <c r="E31" s="18" t="s">
        <v>250</v>
      </c>
    </row>
    <row r="32" spans="1:9" ht="18" x14ac:dyDescent="0.45">
      <c r="A32" s="3" t="s">
        <v>254</v>
      </c>
      <c r="B32" s="8">
        <v>0</v>
      </c>
      <c r="C32" s="8">
        <v>0</v>
      </c>
      <c r="D32" s="8">
        <v>0</v>
      </c>
      <c r="E32" s="18" t="s">
        <v>250</v>
      </c>
    </row>
    <row r="33" spans="1:5" ht="18" x14ac:dyDescent="0.45">
      <c r="A33" s="3" t="s">
        <v>75</v>
      </c>
      <c r="B33" s="8">
        <v>0</v>
      </c>
      <c r="C33" s="8">
        <v>7</v>
      </c>
      <c r="D33" s="8">
        <v>7</v>
      </c>
      <c r="E33" s="18" t="s">
        <v>250</v>
      </c>
    </row>
    <row r="34" spans="1:5" ht="18" x14ac:dyDescent="0.45">
      <c r="A34" s="3" t="s">
        <v>76</v>
      </c>
      <c r="B34" s="8">
        <v>175</v>
      </c>
      <c r="C34" s="8">
        <v>452</v>
      </c>
      <c r="D34" s="8">
        <v>627</v>
      </c>
      <c r="E34" s="18" t="s">
        <v>250</v>
      </c>
    </row>
    <row r="35" spans="1:5" ht="18" x14ac:dyDescent="0.45">
      <c r="A35" s="3" t="s">
        <v>77</v>
      </c>
      <c r="B35" s="8">
        <v>954</v>
      </c>
      <c r="C35" s="8">
        <v>1951</v>
      </c>
      <c r="D35" s="8">
        <v>2905</v>
      </c>
      <c r="E35" s="18" t="s">
        <v>250</v>
      </c>
    </row>
    <row r="36" spans="1:5" ht="18" x14ac:dyDescent="0.45">
      <c r="A36" s="3" t="s">
        <v>78</v>
      </c>
      <c r="B36" s="8">
        <v>1176</v>
      </c>
      <c r="C36" s="8">
        <v>1096</v>
      </c>
      <c r="D36" s="8">
        <v>2272</v>
      </c>
      <c r="E36" s="18" t="s">
        <v>250</v>
      </c>
    </row>
    <row r="37" spans="1:5" ht="18" x14ac:dyDescent="0.45">
      <c r="A37" s="3" t="s">
        <v>79</v>
      </c>
      <c r="B37" s="8">
        <v>1053</v>
      </c>
      <c r="C37" s="8">
        <v>466</v>
      </c>
      <c r="D37" s="8">
        <v>1519</v>
      </c>
      <c r="E37" s="18" t="s">
        <v>250</v>
      </c>
    </row>
    <row r="38" spans="1:5" ht="18" x14ac:dyDescent="0.45">
      <c r="A38" s="3" t="s">
        <v>80</v>
      </c>
      <c r="B38" s="8">
        <v>1089</v>
      </c>
      <c r="C38" s="8">
        <v>317</v>
      </c>
      <c r="D38" s="8">
        <v>1406</v>
      </c>
      <c r="E38" s="18" t="s">
        <v>250</v>
      </c>
    </row>
    <row r="39" spans="1:5" ht="18" x14ac:dyDescent="0.45">
      <c r="A39" s="3" t="s">
        <v>81</v>
      </c>
      <c r="B39" s="8">
        <v>1139</v>
      </c>
      <c r="C39" s="8">
        <v>270</v>
      </c>
      <c r="D39" s="8">
        <v>1409</v>
      </c>
      <c r="E39" s="18" t="s">
        <v>250</v>
      </c>
    </row>
    <row r="40" spans="1:5" ht="18" x14ac:dyDescent="0.45">
      <c r="A40" s="3" t="s">
        <v>82</v>
      </c>
      <c r="B40" s="8">
        <v>1128</v>
      </c>
      <c r="C40" s="8">
        <v>255</v>
      </c>
      <c r="D40" s="8">
        <v>1383</v>
      </c>
      <c r="E40" s="18" t="s">
        <v>250</v>
      </c>
    </row>
    <row r="41" spans="1:5" ht="18" x14ac:dyDescent="0.45">
      <c r="A41" s="3" t="s">
        <v>83</v>
      </c>
      <c r="B41" s="8">
        <v>998</v>
      </c>
      <c r="C41" s="8">
        <v>195</v>
      </c>
      <c r="D41" s="8">
        <v>1193</v>
      </c>
      <c r="E41" s="18" t="s">
        <v>250</v>
      </c>
    </row>
    <row r="42" spans="1:5" ht="18" x14ac:dyDescent="0.45">
      <c r="A42" s="3" t="s">
        <v>84</v>
      </c>
      <c r="B42" s="8">
        <v>738</v>
      </c>
      <c r="C42" s="8">
        <v>101</v>
      </c>
      <c r="D42" s="8">
        <v>839</v>
      </c>
      <c r="E42" s="18" t="s">
        <v>250</v>
      </c>
    </row>
    <row r="43" spans="1:5" ht="18" x14ac:dyDescent="0.45">
      <c r="A43" s="3" t="s">
        <v>255</v>
      </c>
      <c r="B43" s="8">
        <v>441</v>
      </c>
      <c r="C43" s="8">
        <v>49</v>
      </c>
      <c r="D43" s="8">
        <v>491</v>
      </c>
      <c r="E43" s="18" t="s">
        <v>250</v>
      </c>
    </row>
    <row r="44" spans="1:5" ht="18" x14ac:dyDescent="0.45">
      <c r="A44" s="3" t="s">
        <v>256</v>
      </c>
      <c r="B44" s="8">
        <v>274</v>
      </c>
      <c r="C44" s="8">
        <v>29</v>
      </c>
      <c r="D44" s="8">
        <v>303</v>
      </c>
      <c r="E44" s="18" t="s">
        <v>250</v>
      </c>
    </row>
    <row r="45" spans="1:5" ht="18" x14ac:dyDescent="0.45">
      <c r="A45" s="3" t="s">
        <v>257</v>
      </c>
      <c r="B45" s="8">
        <v>327</v>
      </c>
      <c r="C45" s="8">
        <v>118</v>
      </c>
      <c r="D45" s="8">
        <v>445</v>
      </c>
      <c r="E45" s="18" t="s">
        <v>250</v>
      </c>
    </row>
    <row r="47" spans="1:5" ht="22.05" customHeight="1" x14ac:dyDescent="0.5">
      <c r="A47" s="14" t="s">
        <v>258</v>
      </c>
    </row>
    <row r="48" spans="1:5" ht="30" customHeight="1" x14ac:dyDescent="0.2">
      <c r="A48" s="4" t="s">
        <v>52</v>
      </c>
      <c r="B48" s="4" t="s">
        <v>89</v>
      </c>
      <c r="C48" s="4" t="s">
        <v>259</v>
      </c>
      <c r="D48" s="4" t="s">
        <v>260</v>
      </c>
      <c r="E48" s="4" t="s">
        <v>53</v>
      </c>
    </row>
    <row r="49" spans="1:5" ht="18" x14ac:dyDescent="0.45">
      <c r="A49" s="3" t="s">
        <v>93</v>
      </c>
      <c r="B49" s="19">
        <v>1</v>
      </c>
      <c r="C49" s="8">
        <v>3743</v>
      </c>
      <c r="D49" s="21">
        <v>27.8</v>
      </c>
      <c r="E49" s="18" t="s">
        <v>250</v>
      </c>
    </row>
    <row r="50" spans="1:5" ht="18" x14ac:dyDescent="0.45">
      <c r="A50" s="3" t="s">
        <v>95</v>
      </c>
      <c r="B50" s="19">
        <v>2</v>
      </c>
      <c r="C50" s="8">
        <v>1951</v>
      </c>
      <c r="D50" s="21">
        <v>23.1</v>
      </c>
      <c r="E50" s="18" t="s">
        <v>250</v>
      </c>
    </row>
    <row r="51" spans="1:5" ht="18" x14ac:dyDescent="0.45">
      <c r="A51" s="3" t="s">
        <v>98</v>
      </c>
      <c r="B51" s="19">
        <v>3</v>
      </c>
      <c r="C51" s="8">
        <v>880</v>
      </c>
      <c r="D51" s="24" t="s">
        <v>261</v>
      </c>
      <c r="E51" s="18" t="s">
        <v>250</v>
      </c>
    </row>
    <row r="52" spans="1:5" ht="18" x14ac:dyDescent="0.45">
      <c r="A52" s="3" t="s">
        <v>97</v>
      </c>
      <c r="B52" s="19">
        <v>4</v>
      </c>
      <c r="C52" s="8">
        <v>850</v>
      </c>
      <c r="D52" s="24" t="s">
        <v>261</v>
      </c>
      <c r="E52" s="18" t="s">
        <v>250</v>
      </c>
    </row>
    <row r="53" spans="1:5" ht="18" x14ac:dyDescent="0.45">
      <c r="A53" s="3" t="s">
        <v>96</v>
      </c>
      <c r="B53" s="19">
        <v>5</v>
      </c>
      <c r="C53" s="8">
        <v>800</v>
      </c>
      <c r="D53" s="24" t="s">
        <v>261</v>
      </c>
      <c r="E53" s="18" t="s">
        <v>250</v>
      </c>
    </row>
    <row r="55" spans="1:5" ht="22.05" customHeight="1" x14ac:dyDescent="0.5">
      <c r="A55" s="14" t="s">
        <v>262</v>
      </c>
    </row>
    <row r="56" spans="1:5" ht="30" customHeight="1" x14ac:dyDescent="0.2">
      <c r="A56" s="4" t="s">
        <v>52</v>
      </c>
      <c r="B56" s="4" t="s">
        <v>68</v>
      </c>
      <c r="C56" s="4" t="s">
        <v>69</v>
      </c>
      <c r="D56" s="4" t="s">
        <v>50</v>
      </c>
      <c r="E56" s="4" t="s">
        <v>53</v>
      </c>
    </row>
    <row r="57" spans="1:5" ht="18" x14ac:dyDescent="0.45">
      <c r="A57" s="3" t="s">
        <v>263</v>
      </c>
      <c r="B57" s="8">
        <v>5135</v>
      </c>
      <c r="C57" s="8">
        <v>1240</v>
      </c>
      <c r="D57" s="8">
        <v>6375</v>
      </c>
      <c r="E57" s="18" t="s">
        <v>264</v>
      </c>
    </row>
    <row r="58" spans="1:5" ht="18" x14ac:dyDescent="0.45">
      <c r="A58" s="3" t="s">
        <v>265</v>
      </c>
      <c r="B58" s="8">
        <v>2477</v>
      </c>
      <c r="C58" s="8">
        <v>2118</v>
      </c>
      <c r="D58" s="8">
        <v>4596</v>
      </c>
      <c r="E58" s="18" t="s">
        <v>264</v>
      </c>
    </row>
    <row r="59" spans="1:5" ht="18" x14ac:dyDescent="0.45">
      <c r="A59" s="3" t="s">
        <v>266</v>
      </c>
      <c r="B59" s="8">
        <v>156</v>
      </c>
      <c r="C59" s="8">
        <v>45</v>
      </c>
      <c r="D59" s="8">
        <v>201</v>
      </c>
      <c r="E59" s="18" t="s">
        <v>264</v>
      </c>
    </row>
    <row r="60" spans="1:5" ht="18" x14ac:dyDescent="0.45">
      <c r="A60" s="3" t="s">
        <v>267</v>
      </c>
      <c r="B60" s="8">
        <v>1724</v>
      </c>
      <c r="C60" s="8">
        <v>1903</v>
      </c>
      <c r="D60" s="8">
        <v>3627</v>
      </c>
      <c r="E60" s="18" t="s">
        <v>264</v>
      </c>
    </row>
    <row r="61" spans="1:5" ht="18" x14ac:dyDescent="0.45">
      <c r="A61" s="3" t="s">
        <v>268</v>
      </c>
      <c r="B61" s="8">
        <v>12</v>
      </c>
      <c r="C61" s="8">
        <v>18</v>
      </c>
      <c r="D61" s="8">
        <v>30</v>
      </c>
      <c r="E61" s="18" t="s">
        <v>264</v>
      </c>
    </row>
    <row r="63" spans="1:5" ht="22.05" customHeight="1" x14ac:dyDescent="0.5">
      <c r="A63" s="14" t="s">
        <v>269</v>
      </c>
    </row>
    <row r="64" spans="1:5" ht="30" customHeight="1" x14ac:dyDescent="0.2">
      <c r="A64" s="4" t="s">
        <v>52</v>
      </c>
      <c r="B64" s="4" t="s">
        <v>50</v>
      </c>
      <c r="C64" s="4" t="s">
        <v>53</v>
      </c>
    </row>
    <row r="65" spans="1:5" ht="18" x14ac:dyDescent="0.45">
      <c r="A65" s="3" t="s">
        <v>270</v>
      </c>
      <c r="B65" s="8">
        <v>14</v>
      </c>
      <c r="C65" s="18" t="s">
        <v>271</v>
      </c>
    </row>
    <row r="66" spans="1:5" ht="18" x14ac:dyDescent="0.45">
      <c r="A66" s="3" t="s">
        <v>272</v>
      </c>
      <c r="B66" s="8">
        <v>15</v>
      </c>
      <c r="C66" s="18" t="s">
        <v>271</v>
      </c>
    </row>
    <row r="67" spans="1:5" ht="18" x14ac:dyDescent="0.45">
      <c r="A67" s="3" t="s">
        <v>273</v>
      </c>
      <c r="B67" s="8">
        <v>9</v>
      </c>
      <c r="C67" s="18" t="s">
        <v>271</v>
      </c>
    </row>
    <row r="68" spans="1:5" ht="18" x14ac:dyDescent="0.45">
      <c r="A68" s="3" t="s">
        <v>274</v>
      </c>
      <c r="B68" s="8">
        <v>17</v>
      </c>
      <c r="C68" s="18" t="s">
        <v>271</v>
      </c>
    </row>
    <row r="69" spans="1:5" ht="18" x14ac:dyDescent="0.45">
      <c r="A69" s="3" t="s">
        <v>126</v>
      </c>
      <c r="B69" s="8">
        <v>23</v>
      </c>
      <c r="C69" s="18" t="s">
        <v>271</v>
      </c>
    </row>
    <row r="70" spans="1:5" ht="18" x14ac:dyDescent="0.45">
      <c r="A70" s="3" t="s">
        <v>127</v>
      </c>
      <c r="B70" s="8">
        <v>19</v>
      </c>
      <c r="C70" s="18" t="s">
        <v>271</v>
      </c>
    </row>
    <row r="71" spans="1:5" ht="18" x14ac:dyDescent="0.45">
      <c r="A71" s="3" t="s">
        <v>128</v>
      </c>
      <c r="B71" s="8">
        <v>20</v>
      </c>
      <c r="C71" s="18" t="s">
        <v>271</v>
      </c>
    </row>
    <row r="72" spans="1:5" ht="18" x14ac:dyDescent="0.45">
      <c r="A72" s="3" t="s">
        <v>129</v>
      </c>
      <c r="B72" s="8">
        <v>20</v>
      </c>
      <c r="C72" s="18" t="s">
        <v>271</v>
      </c>
    </row>
    <row r="73" spans="1:5" ht="18" x14ac:dyDescent="0.45">
      <c r="A73" s="3" t="s">
        <v>130</v>
      </c>
      <c r="B73" s="8">
        <v>37</v>
      </c>
      <c r="C73" s="18" t="s">
        <v>271</v>
      </c>
    </row>
    <row r="74" spans="1:5" ht="18" x14ac:dyDescent="0.45">
      <c r="A74" s="3" t="s">
        <v>131</v>
      </c>
      <c r="B74" s="8">
        <v>30</v>
      </c>
      <c r="C74" s="18" t="s">
        <v>271</v>
      </c>
    </row>
    <row r="76" spans="1:5" ht="22.05" customHeight="1" x14ac:dyDescent="0.5">
      <c r="A76" s="14" t="s">
        <v>275</v>
      </c>
    </row>
    <row r="77" spans="1:5" ht="30" customHeight="1" x14ac:dyDescent="0.2">
      <c r="A77" s="4" t="s">
        <v>52</v>
      </c>
      <c r="B77" s="4" t="s">
        <v>68</v>
      </c>
      <c r="C77" s="4" t="s">
        <v>69</v>
      </c>
      <c r="D77" s="4" t="s">
        <v>50</v>
      </c>
      <c r="E77" s="4" t="s">
        <v>53</v>
      </c>
    </row>
    <row r="78" spans="1:5" ht="18" x14ac:dyDescent="0.45">
      <c r="A78" s="3" t="s">
        <v>276</v>
      </c>
      <c r="B78" s="8">
        <v>6332</v>
      </c>
      <c r="C78" s="8">
        <v>4329</v>
      </c>
      <c r="D78" s="8">
        <v>10661</v>
      </c>
      <c r="E78" s="18" t="s">
        <v>264</v>
      </c>
    </row>
    <row r="79" spans="1:5" ht="18" x14ac:dyDescent="0.45">
      <c r="A79" s="3" t="s">
        <v>277</v>
      </c>
      <c r="B79" s="8">
        <v>48</v>
      </c>
      <c r="C79" s="8">
        <v>4</v>
      </c>
      <c r="D79" s="8">
        <v>52</v>
      </c>
      <c r="E79" s="18" t="s">
        <v>264</v>
      </c>
    </row>
    <row r="80" spans="1:5" ht="18" x14ac:dyDescent="0.45">
      <c r="A80" s="3" t="s">
        <v>278</v>
      </c>
      <c r="B80" s="8">
        <v>1223</v>
      </c>
      <c r="C80" s="8">
        <v>49</v>
      </c>
      <c r="D80" s="8">
        <v>1273</v>
      </c>
      <c r="E80" s="18" t="s">
        <v>264</v>
      </c>
    </row>
    <row r="81" spans="1:9" ht="18" x14ac:dyDescent="0.45">
      <c r="A81" s="3" t="s">
        <v>279</v>
      </c>
      <c r="B81" s="8">
        <v>898</v>
      </c>
      <c r="C81" s="8">
        <v>394</v>
      </c>
      <c r="D81" s="8">
        <v>1292</v>
      </c>
      <c r="E81" s="18" t="s">
        <v>264</v>
      </c>
    </row>
    <row r="82" spans="1:9" ht="18" x14ac:dyDescent="0.45">
      <c r="A82" s="3" t="s">
        <v>114</v>
      </c>
      <c r="B82" s="8">
        <v>13</v>
      </c>
      <c r="C82" s="8">
        <v>23</v>
      </c>
      <c r="D82" s="8">
        <v>36</v>
      </c>
      <c r="E82" s="18" t="s">
        <v>264</v>
      </c>
    </row>
    <row r="83" spans="1:9" ht="18" x14ac:dyDescent="0.45">
      <c r="A83" s="3" t="s">
        <v>280</v>
      </c>
      <c r="B83" s="8">
        <v>999</v>
      </c>
      <c r="C83" s="8">
        <v>533</v>
      </c>
      <c r="D83" s="8">
        <v>1532</v>
      </c>
      <c r="E83" s="18" t="s">
        <v>264</v>
      </c>
    </row>
    <row r="85" spans="1:9" ht="22.05" customHeight="1" x14ac:dyDescent="0.5">
      <c r="A85" s="14" t="s">
        <v>281</v>
      </c>
    </row>
    <row r="86" spans="1:9" ht="30" customHeight="1" x14ac:dyDescent="0.2">
      <c r="A86" s="4" t="s">
        <v>52</v>
      </c>
      <c r="B86" s="4" t="s">
        <v>50</v>
      </c>
      <c r="C86" s="4" t="s">
        <v>53</v>
      </c>
    </row>
    <row r="87" spans="1:9" ht="18" x14ac:dyDescent="0.45">
      <c r="A87" s="3" t="s">
        <v>282</v>
      </c>
      <c r="B87" s="8">
        <v>3596</v>
      </c>
      <c r="C87" s="18" t="s">
        <v>283</v>
      </c>
    </row>
    <row r="88" spans="1:9" ht="18" x14ac:dyDescent="0.45">
      <c r="A88" s="3" t="s">
        <v>284</v>
      </c>
      <c r="B88" s="8">
        <v>2999</v>
      </c>
      <c r="C88" s="18" t="s">
        <v>283</v>
      </c>
    </row>
    <row r="89" spans="1:9" ht="18" x14ac:dyDescent="0.45">
      <c r="A89" s="3" t="s">
        <v>285</v>
      </c>
      <c r="B89" s="8">
        <v>2665</v>
      </c>
      <c r="C89" s="18" t="s">
        <v>283</v>
      </c>
    </row>
    <row r="90" spans="1:9" ht="18" x14ac:dyDescent="0.45">
      <c r="A90" s="3" t="s">
        <v>286</v>
      </c>
      <c r="B90" s="8">
        <v>3110</v>
      </c>
      <c r="C90" s="18" t="s">
        <v>283</v>
      </c>
    </row>
    <row r="91" spans="1:9" ht="18" x14ac:dyDescent="0.45">
      <c r="A91" s="3" t="s">
        <v>287</v>
      </c>
      <c r="B91" s="8">
        <v>2716</v>
      </c>
      <c r="C91" s="18" t="s">
        <v>283</v>
      </c>
    </row>
    <row r="93" spans="1:9" ht="22.05" customHeight="1" x14ac:dyDescent="0.5">
      <c r="A93" s="14" t="s">
        <v>147</v>
      </c>
    </row>
    <row r="94" spans="1:9" ht="31.95" customHeight="1" x14ac:dyDescent="0.2">
      <c r="A94" s="35" t="s">
        <v>288</v>
      </c>
      <c r="B94" s="34"/>
      <c r="C94" s="34"/>
      <c r="D94" s="34"/>
      <c r="E94" s="34"/>
      <c r="F94" s="34"/>
      <c r="G94" s="34"/>
      <c r="H94" s="34"/>
      <c r="I94" s="34"/>
    </row>
    <row r="95" spans="1:9" ht="18" customHeight="1" x14ac:dyDescent="0.2">
      <c r="A95" s="35" t="s">
        <v>289</v>
      </c>
      <c r="B95" s="34"/>
      <c r="C95" s="34"/>
      <c r="D95" s="34"/>
      <c r="E95" s="34"/>
      <c r="F95" s="34"/>
      <c r="G95" s="34"/>
      <c r="H95" s="34"/>
      <c r="I95" s="34"/>
    </row>
    <row r="96" spans="1:9" ht="31.95" customHeight="1" x14ac:dyDescent="0.2">
      <c r="A96" s="35" t="s">
        <v>290</v>
      </c>
      <c r="B96" s="34"/>
      <c r="C96" s="34"/>
      <c r="D96" s="34"/>
      <c r="E96" s="34"/>
      <c r="F96" s="34"/>
      <c r="G96" s="34"/>
      <c r="H96" s="34"/>
      <c r="I96" s="34"/>
    </row>
    <row r="97" spans="1:9" ht="31.95" customHeight="1" x14ac:dyDescent="0.2">
      <c r="A97" s="35" t="s">
        <v>291</v>
      </c>
      <c r="B97" s="34"/>
      <c r="C97" s="34"/>
      <c r="D97" s="34"/>
      <c r="E97" s="34"/>
      <c r="F97" s="34"/>
      <c r="G97" s="34"/>
      <c r="H97" s="34"/>
      <c r="I97" s="34"/>
    </row>
    <row r="98" spans="1:9" ht="31.95" customHeight="1" x14ac:dyDescent="0.2">
      <c r="A98" s="35" t="s">
        <v>292</v>
      </c>
      <c r="B98" s="34"/>
      <c r="C98" s="34"/>
      <c r="D98" s="34"/>
      <c r="E98" s="34"/>
      <c r="F98" s="34"/>
      <c r="G98" s="34"/>
      <c r="H98" s="34"/>
      <c r="I98" s="34"/>
    </row>
    <row r="100" spans="1:9" ht="22.05" customHeight="1" x14ac:dyDescent="0.5">
      <c r="A100" s="14" t="s">
        <v>153</v>
      </c>
    </row>
    <row r="101" spans="1:9" ht="48" customHeight="1" x14ac:dyDescent="0.2">
      <c r="A101" s="35" t="s">
        <v>293</v>
      </c>
      <c r="B101" s="34"/>
      <c r="C101" s="34"/>
      <c r="D101" s="34"/>
      <c r="E101" s="34"/>
      <c r="F101" s="34"/>
      <c r="G101" s="34"/>
      <c r="H101" s="34"/>
      <c r="I101" s="34"/>
    </row>
    <row r="102" spans="1:9" ht="31.95" customHeight="1" x14ac:dyDescent="0.2">
      <c r="A102" s="35" t="s">
        <v>294</v>
      </c>
      <c r="B102" s="34"/>
      <c r="C102" s="34"/>
      <c r="D102" s="34"/>
      <c r="E102" s="34"/>
      <c r="F102" s="34"/>
      <c r="G102" s="34"/>
      <c r="H102" s="34"/>
      <c r="I102" s="34"/>
    </row>
    <row r="103" spans="1:9" ht="18" customHeight="1" x14ac:dyDescent="0.2">
      <c r="A103" s="35" t="s">
        <v>295</v>
      </c>
      <c r="B103" s="34"/>
      <c r="C103" s="34"/>
      <c r="D103" s="34"/>
      <c r="E103" s="34"/>
      <c r="F103" s="34"/>
      <c r="G103" s="34"/>
      <c r="H103" s="34"/>
      <c r="I103" s="34"/>
    </row>
    <row r="104" spans="1:9" ht="31.95" customHeight="1" x14ac:dyDescent="0.2">
      <c r="A104" s="35" t="s">
        <v>296</v>
      </c>
      <c r="B104" s="34"/>
      <c r="C104" s="34"/>
      <c r="D104" s="34"/>
      <c r="E104" s="34"/>
      <c r="F104" s="34"/>
      <c r="G104" s="34"/>
      <c r="H104" s="34"/>
      <c r="I104" s="34"/>
    </row>
    <row r="106" spans="1:9" ht="22.05" customHeight="1" x14ac:dyDescent="0.5">
      <c r="A106" s="14" t="s">
        <v>158</v>
      </c>
    </row>
    <row r="107" spans="1:9" ht="18" customHeight="1" x14ac:dyDescent="0.2">
      <c r="A107" s="35" t="s">
        <v>297</v>
      </c>
      <c r="B107" s="34"/>
      <c r="C107" s="34"/>
      <c r="D107" s="34"/>
      <c r="E107" s="34"/>
      <c r="F107" s="34"/>
      <c r="G107" s="34"/>
      <c r="H107" s="34"/>
      <c r="I107" s="34"/>
    </row>
    <row r="108" spans="1:9" ht="18" customHeight="1" x14ac:dyDescent="0.2">
      <c r="A108" s="35" t="s">
        <v>298</v>
      </c>
      <c r="B108" s="34"/>
      <c r="C108" s="34"/>
      <c r="D108" s="34"/>
      <c r="E108" s="34"/>
      <c r="F108" s="34"/>
      <c r="G108" s="34"/>
      <c r="H108" s="34"/>
      <c r="I108" s="34"/>
    </row>
    <row r="109" spans="1:9" ht="31.95" customHeight="1" x14ac:dyDescent="0.2">
      <c r="A109" s="35" t="s">
        <v>299</v>
      </c>
      <c r="B109" s="34"/>
      <c r="C109" s="34"/>
      <c r="D109" s="34"/>
      <c r="E109" s="34"/>
      <c r="F109" s="34"/>
      <c r="G109" s="34"/>
      <c r="H109" s="34"/>
      <c r="I109" s="34"/>
    </row>
    <row r="110" spans="1:9" ht="18" customHeight="1" x14ac:dyDescent="0.2">
      <c r="A110" s="35" t="s">
        <v>300</v>
      </c>
      <c r="B110" s="34"/>
      <c r="C110" s="34"/>
      <c r="D110" s="34"/>
      <c r="E110" s="34"/>
      <c r="F110" s="34"/>
      <c r="G110" s="34"/>
      <c r="H110" s="34"/>
      <c r="I110" s="34"/>
    </row>
  </sheetData>
  <mergeCells count="16">
    <mergeCell ref="A110:I110"/>
    <mergeCell ref="A22:I22"/>
    <mergeCell ref="A109:I109"/>
    <mergeCell ref="A101:I101"/>
    <mergeCell ref="A96:I96"/>
    <mergeCell ref="A107:I107"/>
    <mergeCell ref="A103:I103"/>
    <mergeCell ref="A108:I108"/>
    <mergeCell ref="A102:I102"/>
    <mergeCell ref="A94:I94"/>
    <mergeCell ref="A104:I104"/>
    <mergeCell ref="A97:I97"/>
    <mergeCell ref="A95:I95"/>
    <mergeCell ref="A98:I98"/>
    <mergeCell ref="A2:I2"/>
    <mergeCell ref="A17:I17"/>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148"/>
  <sheetViews>
    <sheetView showGridLines="0" workbookViewId="0"/>
  </sheetViews>
  <sheetFormatPr defaultRowHeight="13.2" x14ac:dyDescent="0.2"/>
  <cols>
    <col min="1" max="1" width="40" customWidth="1"/>
    <col min="2" max="11" width="15" customWidth="1"/>
  </cols>
  <sheetData>
    <row r="1" spans="1:9" ht="25.95" customHeight="1" x14ac:dyDescent="0.6">
      <c r="A1" s="1" t="s">
        <v>38</v>
      </c>
    </row>
    <row r="2" spans="1:9" ht="48" customHeight="1" x14ac:dyDescent="0.2">
      <c r="A2" s="33" t="s">
        <v>301</v>
      </c>
      <c r="B2" s="34"/>
      <c r="C2" s="34"/>
      <c r="D2" s="34"/>
      <c r="E2" s="34"/>
      <c r="F2" s="34"/>
      <c r="G2" s="34"/>
      <c r="H2" s="34"/>
      <c r="I2" s="34"/>
    </row>
    <row r="4" spans="1:9" ht="22.05" customHeight="1" x14ac:dyDescent="0.5">
      <c r="A4" s="14" t="s">
        <v>46</v>
      </c>
    </row>
    <row r="5" spans="1:9" ht="30" customHeight="1" x14ac:dyDescent="0.2">
      <c r="A5" s="4" t="s">
        <v>47</v>
      </c>
      <c r="B5" s="4" t="s">
        <v>13</v>
      </c>
      <c r="C5" s="4" t="s">
        <v>302</v>
      </c>
      <c r="D5" s="4" t="s">
        <v>52</v>
      </c>
      <c r="E5" s="4" t="s">
        <v>53</v>
      </c>
    </row>
    <row r="6" spans="1:9" ht="18" x14ac:dyDescent="0.45">
      <c r="A6" s="15">
        <v>2015</v>
      </c>
      <c r="B6" s="8">
        <v>35</v>
      </c>
      <c r="C6" s="16" t="s">
        <v>35</v>
      </c>
      <c r="D6" s="17" t="s">
        <v>54</v>
      </c>
      <c r="E6" s="18" t="s">
        <v>303</v>
      </c>
    </row>
    <row r="7" spans="1:9" ht="18" x14ac:dyDescent="0.45">
      <c r="A7" s="15">
        <v>2016</v>
      </c>
      <c r="B7" s="8">
        <v>165</v>
      </c>
      <c r="C7" s="16">
        <f t="shared" ref="C7:C16" si="0">IF(B6="","",B7/B6-1)</f>
        <v>3.7142857142857144</v>
      </c>
      <c r="D7" s="17" t="s">
        <v>54</v>
      </c>
      <c r="E7" s="18" t="s">
        <v>303</v>
      </c>
    </row>
    <row r="8" spans="1:9" ht="18" x14ac:dyDescent="0.45">
      <c r="A8" s="15">
        <v>2017</v>
      </c>
      <c r="B8" s="8">
        <v>186</v>
      </c>
      <c r="C8" s="16">
        <f t="shared" si="0"/>
        <v>0.1272727272727272</v>
      </c>
      <c r="D8" s="17" t="s">
        <v>54</v>
      </c>
      <c r="E8" s="18" t="s">
        <v>303</v>
      </c>
    </row>
    <row r="9" spans="1:9" ht="18" x14ac:dyDescent="0.45">
      <c r="A9" s="15">
        <v>2018</v>
      </c>
      <c r="B9" s="8">
        <v>279</v>
      </c>
      <c r="C9" s="16">
        <f t="shared" si="0"/>
        <v>0.5</v>
      </c>
      <c r="D9" s="17" t="s">
        <v>54</v>
      </c>
      <c r="E9" s="18" t="s">
        <v>303</v>
      </c>
    </row>
    <row r="10" spans="1:9" ht="18" x14ac:dyDescent="0.45">
      <c r="A10" s="15">
        <v>2019</v>
      </c>
      <c r="B10" s="8">
        <v>744</v>
      </c>
      <c r="C10" s="16">
        <f t="shared" si="0"/>
        <v>1.6666666666666665</v>
      </c>
      <c r="D10" s="17" t="s">
        <v>54</v>
      </c>
      <c r="E10" s="18" t="s">
        <v>303</v>
      </c>
    </row>
    <row r="11" spans="1:9" ht="18" x14ac:dyDescent="0.45">
      <c r="A11" s="15">
        <v>2020</v>
      </c>
      <c r="B11" s="8">
        <v>10</v>
      </c>
      <c r="C11" s="16">
        <f t="shared" si="0"/>
        <v>-0.98655913978494625</v>
      </c>
      <c r="D11" s="17" t="s">
        <v>54</v>
      </c>
      <c r="E11" s="18" t="s">
        <v>303</v>
      </c>
    </row>
    <row r="12" spans="1:9" ht="18" x14ac:dyDescent="0.45">
      <c r="A12" s="15">
        <v>2021</v>
      </c>
      <c r="B12" s="8">
        <v>6</v>
      </c>
      <c r="C12" s="16">
        <f t="shared" si="0"/>
        <v>-0.4</v>
      </c>
      <c r="D12" s="17" t="s">
        <v>54</v>
      </c>
      <c r="E12" s="18" t="s">
        <v>303</v>
      </c>
    </row>
    <row r="13" spans="1:9" ht="18" x14ac:dyDescent="0.45">
      <c r="A13" s="15">
        <v>2022</v>
      </c>
      <c r="B13" s="8">
        <v>6</v>
      </c>
      <c r="C13" s="16">
        <f t="shared" si="0"/>
        <v>0</v>
      </c>
      <c r="D13" s="17" t="s">
        <v>54</v>
      </c>
      <c r="E13" s="18" t="s">
        <v>303</v>
      </c>
    </row>
    <row r="14" spans="1:9" ht="18" x14ac:dyDescent="0.45">
      <c r="A14" s="15">
        <v>2023</v>
      </c>
      <c r="B14" s="8">
        <v>28</v>
      </c>
      <c r="C14" s="16">
        <f t="shared" si="0"/>
        <v>3.666666666666667</v>
      </c>
      <c r="D14" s="17" t="s">
        <v>54</v>
      </c>
      <c r="E14" s="18" t="s">
        <v>303</v>
      </c>
    </row>
    <row r="15" spans="1:9" ht="18" x14ac:dyDescent="0.45">
      <c r="A15" s="15">
        <v>2024</v>
      </c>
      <c r="B15" s="8">
        <v>45</v>
      </c>
      <c r="C15" s="16">
        <f t="shared" si="0"/>
        <v>0.60714285714285721</v>
      </c>
      <c r="D15" s="17" t="s">
        <v>54</v>
      </c>
      <c r="E15" s="18" t="s">
        <v>303</v>
      </c>
    </row>
    <row r="16" spans="1:9" ht="18" x14ac:dyDescent="0.45">
      <c r="A16" s="27">
        <v>2025</v>
      </c>
      <c r="B16" s="12">
        <v>265</v>
      </c>
      <c r="C16" s="28">
        <f t="shared" si="0"/>
        <v>4.8888888888888893</v>
      </c>
      <c r="D16" s="29" t="s">
        <v>63</v>
      </c>
      <c r="E16" s="30" t="s">
        <v>304</v>
      </c>
    </row>
    <row r="17" spans="1:9" ht="18" customHeight="1" x14ac:dyDescent="0.2">
      <c r="A17" s="33" t="s">
        <v>56</v>
      </c>
      <c r="B17" s="34"/>
      <c r="C17" s="34"/>
      <c r="D17" s="34"/>
      <c r="E17" s="34"/>
      <c r="F17" s="34"/>
      <c r="G17" s="34"/>
      <c r="H17" s="34"/>
      <c r="I17" s="34"/>
    </row>
    <row r="19" spans="1:9" ht="22.05" customHeight="1" x14ac:dyDescent="0.5">
      <c r="A19" s="14" t="s">
        <v>57</v>
      </c>
    </row>
    <row r="20" spans="1:9" ht="30" customHeight="1" x14ac:dyDescent="0.2">
      <c r="A20" s="4" t="s">
        <v>58</v>
      </c>
      <c r="B20" s="4" t="s">
        <v>59</v>
      </c>
      <c r="C20" s="4" t="s">
        <v>60</v>
      </c>
      <c r="D20" s="4" t="s">
        <v>61</v>
      </c>
      <c r="E20" s="4" t="s">
        <v>32</v>
      </c>
      <c r="F20" s="4" t="s">
        <v>52</v>
      </c>
      <c r="G20" s="4" t="s">
        <v>53</v>
      </c>
    </row>
    <row r="21" spans="1:9" ht="49.95" customHeight="1" x14ac:dyDescent="0.45">
      <c r="A21" s="3" t="s">
        <v>13</v>
      </c>
      <c r="B21" s="3" t="s">
        <v>246</v>
      </c>
      <c r="C21" s="8">
        <v>579</v>
      </c>
      <c r="D21" s="8">
        <v>231</v>
      </c>
      <c r="E21" s="9">
        <f>C21/D21-1</f>
        <v>1.5064935064935066</v>
      </c>
      <c r="F21" s="17" t="s">
        <v>63</v>
      </c>
      <c r="G21" s="18" t="s">
        <v>304</v>
      </c>
    </row>
    <row r="22" spans="1:9" ht="18" customHeight="1" x14ac:dyDescent="0.2">
      <c r="A22" s="33" t="s">
        <v>305</v>
      </c>
      <c r="B22" s="34"/>
      <c r="C22" s="34"/>
      <c r="D22" s="34"/>
      <c r="E22" s="34"/>
      <c r="F22" s="34"/>
      <c r="G22" s="34"/>
      <c r="H22" s="34"/>
      <c r="I22" s="34"/>
    </row>
    <row r="23" spans="1:9" ht="31.95" customHeight="1" x14ac:dyDescent="0.2">
      <c r="A23" s="33" t="s">
        <v>306</v>
      </c>
      <c r="B23" s="34"/>
      <c r="C23" s="34"/>
      <c r="D23" s="34"/>
      <c r="E23" s="34"/>
      <c r="F23" s="34"/>
      <c r="G23" s="34"/>
      <c r="H23" s="34"/>
      <c r="I23" s="34"/>
    </row>
    <row r="25" spans="1:9" ht="22.05" customHeight="1" x14ac:dyDescent="0.5">
      <c r="A25" s="14" t="s">
        <v>249</v>
      </c>
    </row>
    <row r="26" spans="1:9" ht="30" customHeight="1" x14ac:dyDescent="0.2">
      <c r="A26" s="4" t="s">
        <v>52</v>
      </c>
      <c r="B26" s="4" t="s">
        <v>68</v>
      </c>
      <c r="C26" s="4" t="s">
        <v>69</v>
      </c>
      <c r="D26" s="4" t="s">
        <v>53</v>
      </c>
    </row>
    <row r="27" spans="1:9" ht="18" x14ac:dyDescent="0.45">
      <c r="A27" s="3" t="s">
        <v>13</v>
      </c>
      <c r="B27" s="8">
        <v>30</v>
      </c>
      <c r="C27" s="8">
        <v>15</v>
      </c>
      <c r="D27" s="18" t="s">
        <v>307</v>
      </c>
    </row>
    <row r="29" spans="1:9" ht="22.05" customHeight="1" x14ac:dyDescent="0.5">
      <c r="A29" s="14" t="s">
        <v>251</v>
      </c>
    </row>
    <row r="30" spans="1:9" ht="30" customHeight="1" x14ac:dyDescent="0.2">
      <c r="A30" s="4" t="s">
        <v>52</v>
      </c>
      <c r="B30" s="4" t="s">
        <v>13</v>
      </c>
      <c r="C30" s="4" t="s">
        <v>53</v>
      </c>
    </row>
    <row r="31" spans="1:9" ht="18" x14ac:dyDescent="0.45">
      <c r="A31" s="3" t="s">
        <v>252</v>
      </c>
      <c r="B31" s="8">
        <v>6</v>
      </c>
      <c r="C31" s="18" t="s">
        <v>307</v>
      </c>
    </row>
    <row r="32" spans="1:9" ht="18" x14ac:dyDescent="0.45">
      <c r="A32" s="3" t="s">
        <v>253</v>
      </c>
      <c r="B32" s="8">
        <v>1</v>
      </c>
      <c r="C32" s="18" t="s">
        <v>307</v>
      </c>
    </row>
    <row r="33" spans="1:3" ht="18" x14ac:dyDescent="0.45">
      <c r="A33" s="3" t="s">
        <v>254</v>
      </c>
      <c r="B33" s="8">
        <v>1</v>
      </c>
      <c r="C33" s="18" t="s">
        <v>307</v>
      </c>
    </row>
    <row r="34" spans="1:3" ht="18" x14ac:dyDescent="0.45">
      <c r="A34" s="3" t="s">
        <v>75</v>
      </c>
      <c r="B34" s="8">
        <v>1</v>
      </c>
      <c r="C34" s="18" t="s">
        <v>307</v>
      </c>
    </row>
    <row r="35" spans="1:3" ht="18" x14ac:dyDescent="0.45">
      <c r="A35" s="3" t="s">
        <v>76</v>
      </c>
      <c r="B35" s="8">
        <v>7</v>
      </c>
      <c r="C35" s="18" t="s">
        <v>307</v>
      </c>
    </row>
    <row r="36" spans="1:3" ht="18" x14ac:dyDescent="0.45">
      <c r="A36" s="3" t="s">
        <v>77</v>
      </c>
      <c r="B36" s="8">
        <v>6</v>
      </c>
      <c r="C36" s="18" t="s">
        <v>307</v>
      </c>
    </row>
    <row r="37" spans="1:3" ht="18" x14ac:dyDescent="0.45">
      <c r="A37" s="3" t="s">
        <v>78</v>
      </c>
      <c r="B37" s="8">
        <v>8</v>
      </c>
      <c r="C37" s="18" t="s">
        <v>307</v>
      </c>
    </row>
    <row r="38" spans="1:3" ht="18" x14ac:dyDescent="0.45">
      <c r="A38" s="3" t="s">
        <v>79</v>
      </c>
      <c r="B38" s="8">
        <v>6</v>
      </c>
      <c r="C38" s="18" t="s">
        <v>307</v>
      </c>
    </row>
    <row r="39" spans="1:3" ht="18" x14ac:dyDescent="0.45">
      <c r="A39" s="3" t="s">
        <v>80</v>
      </c>
      <c r="B39" s="8">
        <v>2</v>
      </c>
      <c r="C39" s="18" t="s">
        <v>307</v>
      </c>
    </row>
    <row r="40" spans="1:3" ht="18" x14ac:dyDescent="0.45">
      <c r="A40" s="3" t="s">
        <v>81</v>
      </c>
      <c r="B40" s="8">
        <v>3</v>
      </c>
      <c r="C40" s="18" t="s">
        <v>307</v>
      </c>
    </row>
    <row r="41" spans="1:3" ht="18" x14ac:dyDescent="0.45">
      <c r="A41" s="3" t="s">
        <v>82</v>
      </c>
      <c r="B41" s="8">
        <v>3</v>
      </c>
      <c r="C41" s="18" t="s">
        <v>307</v>
      </c>
    </row>
    <row r="42" spans="1:3" ht="18" x14ac:dyDescent="0.45">
      <c r="A42" s="3" t="s">
        <v>83</v>
      </c>
      <c r="B42" s="8">
        <v>1</v>
      </c>
      <c r="C42" s="18" t="s">
        <v>307</v>
      </c>
    </row>
    <row r="43" spans="1:3" ht="18" x14ac:dyDescent="0.45">
      <c r="A43" s="3" t="s">
        <v>84</v>
      </c>
      <c r="B43" s="8">
        <v>0</v>
      </c>
      <c r="C43" s="18" t="s">
        <v>307</v>
      </c>
    </row>
    <row r="44" spans="1:3" ht="18" x14ac:dyDescent="0.45">
      <c r="A44" s="3" t="s">
        <v>255</v>
      </c>
      <c r="B44" s="8">
        <v>0</v>
      </c>
      <c r="C44" s="18" t="s">
        <v>307</v>
      </c>
    </row>
    <row r="45" spans="1:3" ht="18" x14ac:dyDescent="0.45">
      <c r="A45" s="3" t="s">
        <v>256</v>
      </c>
      <c r="B45" s="8">
        <v>0</v>
      </c>
      <c r="C45" s="18" t="s">
        <v>307</v>
      </c>
    </row>
    <row r="46" spans="1:3" ht="18" x14ac:dyDescent="0.45">
      <c r="A46" s="3" t="s">
        <v>257</v>
      </c>
      <c r="B46" s="8">
        <v>0</v>
      </c>
      <c r="C46" s="18" t="s">
        <v>307</v>
      </c>
    </row>
    <row r="48" spans="1:3" ht="22.05" customHeight="1" x14ac:dyDescent="0.5">
      <c r="A48" s="14" t="s">
        <v>258</v>
      </c>
    </row>
    <row r="49" spans="1:9" ht="30" customHeight="1" x14ac:dyDescent="0.2">
      <c r="A49" s="4" t="s">
        <v>52</v>
      </c>
      <c r="B49" s="4" t="s">
        <v>89</v>
      </c>
      <c r="C49" s="4" t="s">
        <v>259</v>
      </c>
      <c r="D49" s="4" t="s">
        <v>53</v>
      </c>
    </row>
    <row r="50" spans="1:9" ht="18" x14ac:dyDescent="0.45">
      <c r="A50" s="3" t="s">
        <v>95</v>
      </c>
      <c r="B50" s="19">
        <v>1</v>
      </c>
      <c r="C50" s="8">
        <v>11</v>
      </c>
      <c r="D50" s="18" t="s">
        <v>307</v>
      </c>
    </row>
    <row r="51" spans="1:9" ht="18" x14ac:dyDescent="0.45">
      <c r="A51" s="3" t="s">
        <v>93</v>
      </c>
      <c r="B51" s="19">
        <v>2</v>
      </c>
      <c r="C51" s="8">
        <v>10</v>
      </c>
      <c r="D51" s="18" t="s">
        <v>307</v>
      </c>
    </row>
    <row r="52" spans="1:9" ht="18" x14ac:dyDescent="0.45">
      <c r="A52" s="3" t="s">
        <v>308</v>
      </c>
      <c r="B52" s="19">
        <v>3</v>
      </c>
      <c r="C52" s="8">
        <v>8</v>
      </c>
      <c r="D52" s="18" t="s">
        <v>307</v>
      </c>
    </row>
    <row r="53" spans="1:9" ht="18" x14ac:dyDescent="0.45">
      <c r="A53" s="3" t="s">
        <v>309</v>
      </c>
      <c r="B53" s="19">
        <v>4</v>
      </c>
      <c r="C53" s="8">
        <v>4</v>
      </c>
      <c r="D53" s="18" t="s">
        <v>307</v>
      </c>
    </row>
    <row r="54" spans="1:9" ht="18" x14ac:dyDescent="0.45">
      <c r="A54" s="3" t="s">
        <v>310</v>
      </c>
      <c r="B54" s="19">
        <v>4</v>
      </c>
      <c r="C54" s="8">
        <v>4</v>
      </c>
      <c r="D54" s="18" t="s">
        <v>307</v>
      </c>
    </row>
    <row r="56" spans="1:9" ht="22.05" customHeight="1" x14ac:dyDescent="0.5">
      <c r="A56" s="14" t="s">
        <v>311</v>
      </c>
    </row>
    <row r="57" spans="1:9" ht="30" customHeight="1" x14ac:dyDescent="0.2">
      <c r="A57" s="4" t="s">
        <v>52</v>
      </c>
      <c r="B57" s="4" t="s">
        <v>13</v>
      </c>
      <c r="C57" s="4" t="s">
        <v>53</v>
      </c>
    </row>
    <row r="58" spans="1:9" ht="18" x14ac:dyDescent="0.45">
      <c r="A58" s="3" t="s">
        <v>312</v>
      </c>
      <c r="B58" s="8">
        <v>20</v>
      </c>
      <c r="C58" s="18" t="s">
        <v>313</v>
      </c>
    </row>
    <row r="59" spans="1:9" ht="18" x14ac:dyDescent="0.45">
      <c r="A59" s="3" t="s">
        <v>314</v>
      </c>
      <c r="B59" s="8">
        <v>7</v>
      </c>
      <c r="C59" s="18" t="s">
        <v>313</v>
      </c>
    </row>
    <row r="60" spans="1:9" ht="18" x14ac:dyDescent="0.45">
      <c r="A60" s="3" t="s">
        <v>315</v>
      </c>
      <c r="B60" s="8">
        <v>6</v>
      </c>
      <c r="C60" s="18" t="s">
        <v>313</v>
      </c>
    </row>
    <row r="61" spans="1:9" ht="18" x14ac:dyDescent="0.45">
      <c r="A61" s="3" t="s">
        <v>316</v>
      </c>
      <c r="B61" s="8">
        <v>12</v>
      </c>
      <c r="C61" s="18" t="s">
        <v>313</v>
      </c>
    </row>
    <row r="62" spans="1:9" ht="31.95" customHeight="1" x14ac:dyDescent="0.2">
      <c r="A62" s="33" t="s">
        <v>317</v>
      </c>
      <c r="B62" s="34"/>
      <c r="C62" s="34"/>
      <c r="D62" s="34"/>
      <c r="E62" s="34"/>
      <c r="F62" s="34"/>
      <c r="G62" s="34"/>
      <c r="H62" s="34"/>
      <c r="I62" s="34"/>
    </row>
    <row r="64" spans="1:9" ht="22.05" customHeight="1" x14ac:dyDescent="0.5">
      <c r="A64" s="14" t="s">
        <v>318</v>
      </c>
    </row>
    <row r="65" spans="1:9" ht="30" customHeight="1" x14ac:dyDescent="0.2">
      <c r="A65" s="4" t="s">
        <v>52</v>
      </c>
      <c r="B65" s="4" t="s">
        <v>13</v>
      </c>
      <c r="C65" s="4" t="s">
        <v>53</v>
      </c>
    </row>
    <row r="66" spans="1:9" ht="18" x14ac:dyDescent="0.45">
      <c r="A66" s="3" t="s">
        <v>319</v>
      </c>
      <c r="B66" s="8">
        <v>14</v>
      </c>
      <c r="C66" s="18" t="s">
        <v>320</v>
      </c>
    </row>
    <row r="67" spans="1:9" ht="18" x14ac:dyDescent="0.45">
      <c r="A67" s="3" t="s">
        <v>321</v>
      </c>
      <c r="B67" s="8">
        <v>22</v>
      </c>
      <c r="C67" s="18" t="s">
        <v>320</v>
      </c>
    </row>
    <row r="68" spans="1:9" ht="18" x14ac:dyDescent="0.45">
      <c r="A68" s="3" t="s">
        <v>86</v>
      </c>
      <c r="B68" s="8">
        <v>9</v>
      </c>
      <c r="C68" s="18" t="s">
        <v>320</v>
      </c>
    </row>
    <row r="69" spans="1:9" ht="31.95" customHeight="1" x14ac:dyDescent="0.2">
      <c r="A69" s="33" t="s">
        <v>322</v>
      </c>
      <c r="B69" s="34"/>
      <c r="C69" s="34"/>
      <c r="D69" s="34"/>
      <c r="E69" s="34"/>
      <c r="F69" s="34"/>
      <c r="G69" s="34"/>
      <c r="H69" s="34"/>
      <c r="I69" s="34"/>
    </row>
    <row r="71" spans="1:9" ht="22.05" customHeight="1" x14ac:dyDescent="0.5">
      <c r="A71" s="14" t="s">
        <v>323</v>
      </c>
    </row>
    <row r="72" spans="1:9" ht="30" customHeight="1" x14ac:dyDescent="0.2">
      <c r="A72" s="4" t="s">
        <v>52</v>
      </c>
      <c r="B72" s="4" t="s">
        <v>13</v>
      </c>
      <c r="C72" s="4" t="s">
        <v>53</v>
      </c>
    </row>
    <row r="73" spans="1:9" ht="18" x14ac:dyDescent="0.45">
      <c r="A73" s="3" t="s">
        <v>195</v>
      </c>
      <c r="B73" s="8">
        <v>6</v>
      </c>
      <c r="C73" s="18" t="s">
        <v>324</v>
      </c>
    </row>
    <row r="74" spans="1:9" ht="18" x14ac:dyDescent="0.45">
      <c r="A74" s="3" t="s">
        <v>325</v>
      </c>
      <c r="B74" s="8">
        <v>3</v>
      </c>
      <c r="C74" s="18" t="s">
        <v>324</v>
      </c>
    </row>
    <row r="75" spans="1:9" ht="18" x14ac:dyDescent="0.45">
      <c r="A75" s="3" t="s">
        <v>191</v>
      </c>
      <c r="B75" s="8">
        <v>3</v>
      </c>
      <c r="C75" s="18" t="s">
        <v>324</v>
      </c>
    </row>
    <row r="76" spans="1:9" ht="18" x14ac:dyDescent="0.45">
      <c r="A76" s="3" t="s">
        <v>326</v>
      </c>
      <c r="B76" s="8">
        <v>2</v>
      </c>
      <c r="C76" s="18" t="s">
        <v>324</v>
      </c>
    </row>
    <row r="77" spans="1:9" ht="18" x14ac:dyDescent="0.45">
      <c r="A77" s="3" t="s">
        <v>188</v>
      </c>
      <c r="B77" s="8">
        <v>2</v>
      </c>
      <c r="C77" s="18" t="s">
        <v>324</v>
      </c>
    </row>
    <row r="78" spans="1:9" ht="18" x14ac:dyDescent="0.45">
      <c r="A78" s="3" t="s">
        <v>197</v>
      </c>
      <c r="B78" s="8">
        <v>2</v>
      </c>
      <c r="C78" s="18" t="s">
        <v>324</v>
      </c>
    </row>
    <row r="79" spans="1:9" ht="18" x14ac:dyDescent="0.45">
      <c r="A79" s="3" t="s">
        <v>327</v>
      </c>
      <c r="B79" s="8">
        <v>1</v>
      </c>
      <c r="C79" s="18" t="s">
        <v>324</v>
      </c>
    </row>
    <row r="80" spans="1:9" ht="18" x14ac:dyDescent="0.45">
      <c r="A80" s="3" t="s">
        <v>328</v>
      </c>
      <c r="B80" s="8">
        <v>1</v>
      </c>
      <c r="C80" s="18" t="s">
        <v>324</v>
      </c>
    </row>
    <row r="81" spans="1:9" ht="18" x14ac:dyDescent="0.45">
      <c r="A81" s="3" t="s">
        <v>329</v>
      </c>
      <c r="B81" s="8">
        <v>2</v>
      </c>
      <c r="C81" s="18" t="s">
        <v>324</v>
      </c>
    </row>
    <row r="82" spans="1:9" ht="31.95" customHeight="1" x14ac:dyDescent="0.2">
      <c r="A82" s="33" t="s">
        <v>330</v>
      </c>
      <c r="B82" s="34"/>
      <c r="C82" s="34"/>
      <c r="D82" s="34"/>
      <c r="E82" s="34"/>
      <c r="F82" s="34"/>
      <c r="G82" s="34"/>
      <c r="H82" s="34"/>
      <c r="I82" s="34"/>
    </row>
    <row r="84" spans="1:9" ht="22.05" customHeight="1" x14ac:dyDescent="0.5">
      <c r="A84" s="14" t="s">
        <v>331</v>
      </c>
    </row>
    <row r="85" spans="1:9" ht="30" customHeight="1" x14ac:dyDescent="0.2">
      <c r="A85" s="4" t="s">
        <v>52</v>
      </c>
      <c r="B85" s="4" t="s">
        <v>332</v>
      </c>
      <c r="C85" s="4" t="s">
        <v>333</v>
      </c>
      <c r="D85" s="4" t="s">
        <v>53</v>
      </c>
    </row>
    <row r="86" spans="1:9" ht="18" x14ac:dyDescent="0.45">
      <c r="A86" s="3" t="s">
        <v>334</v>
      </c>
      <c r="B86" s="21">
        <v>96.3</v>
      </c>
      <c r="C86" s="21">
        <v>92.7</v>
      </c>
      <c r="D86" s="18" t="s">
        <v>335</v>
      </c>
    </row>
    <row r="87" spans="1:9" ht="18" x14ac:dyDescent="0.45">
      <c r="A87" s="3" t="s">
        <v>336</v>
      </c>
      <c r="B87" s="21">
        <v>92.7</v>
      </c>
      <c r="C87" s="21">
        <v>91</v>
      </c>
      <c r="D87" s="18" t="s">
        <v>335</v>
      </c>
    </row>
    <row r="88" spans="1:9" ht="48" customHeight="1" x14ac:dyDescent="0.2">
      <c r="A88" s="33" t="s">
        <v>337</v>
      </c>
      <c r="B88" s="34"/>
      <c r="C88" s="34"/>
      <c r="D88" s="34"/>
      <c r="E88" s="34"/>
      <c r="F88" s="34"/>
      <c r="G88" s="34"/>
      <c r="H88" s="34"/>
      <c r="I88" s="34"/>
    </row>
    <row r="90" spans="1:9" ht="22.05" customHeight="1" x14ac:dyDescent="0.5">
      <c r="A90" s="14" t="s">
        <v>338</v>
      </c>
    </row>
    <row r="91" spans="1:9" ht="30" customHeight="1" x14ac:dyDescent="0.2">
      <c r="A91" s="4" t="s">
        <v>52</v>
      </c>
      <c r="B91" s="4" t="s">
        <v>13</v>
      </c>
      <c r="C91" s="4" t="s">
        <v>53</v>
      </c>
    </row>
    <row r="92" spans="1:9" ht="18" x14ac:dyDescent="0.45">
      <c r="A92" s="3" t="s">
        <v>339</v>
      </c>
      <c r="B92" s="8">
        <v>77</v>
      </c>
      <c r="C92" s="18" t="s">
        <v>340</v>
      </c>
    </row>
    <row r="93" spans="1:9" ht="18" x14ac:dyDescent="0.45">
      <c r="A93" s="3" t="s">
        <v>314</v>
      </c>
      <c r="B93" s="8">
        <v>46</v>
      </c>
      <c r="C93" s="18" t="s">
        <v>340</v>
      </c>
    </row>
    <row r="94" spans="1:9" ht="18" x14ac:dyDescent="0.45">
      <c r="A94" s="3" t="s">
        <v>315</v>
      </c>
      <c r="B94" s="8">
        <v>52</v>
      </c>
      <c r="C94" s="18" t="s">
        <v>340</v>
      </c>
    </row>
    <row r="95" spans="1:9" ht="18" x14ac:dyDescent="0.45">
      <c r="A95" s="3" t="s">
        <v>86</v>
      </c>
      <c r="B95" s="8">
        <v>90</v>
      </c>
      <c r="C95" s="18" t="s">
        <v>340</v>
      </c>
    </row>
    <row r="96" spans="1:9" ht="18" customHeight="1" x14ac:dyDescent="0.2">
      <c r="A96" s="33" t="s">
        <v>341</v>
      </c>
      <c r="B96" s="34"/>
      <c r="C96" s="34"/>
      <c r="D96" s="34"/>
      <c r="E96" s="34"/>
      <c r="F96" s="34"/>
      <c r="G96" s="34"/>
      <c r="H96" s="34"/>
      <c r="I96" s="34"/>
    </row>
    <row r="98" spans="1:9" ht="22.05" customHeight="1" x14ac:dyDescent="0.5">
      <c r="A98" s="14" t="s">
        <v>342</v>
      </c>
    </row>
    <row r="99" spans="1:9" ht="30" customHeight="1" x14ac:dyDescent="0.2">
      <c r="A99" s="4" t="s">
        <v>52</v>
      </c>
      <c r="B99" s="4" t="s">
        <v>13</v>
      </c>
      <c r="C99" s="4" t="s">
        <v>53</v>
      </c>
    </row>
    <row r="100" spans="1:9" ht="18" x14ac:dyDescent="0.45">
      <c r="A100" s="3" t="s">
        <v>319</v>
      </c>
      <c r="B100" s="8">
        <v>153</v>
      </c>
      <c r="C100" s="18" t="s">
        <v>340</v>
      </c>
    </row>
    <row r="101" spans="1:9" ht="18" x14ac:dyDescent="0.45">
      <c r="A101" s="3" t="s">
        <v>321</v>
      </c>
      <c r="B101" s="8">
        <v>86</v>
      </c>
      <c r="C101" s="18" t="s">
        <v>340</v>
      </c>
    </row>
    <row r="102" spans="1:9" ht="18" x14ac:dyDescent="0.45">
      <c r="A102" s="3" t="s">
        <v>343</v>
      </c>
      <c r="B102" s="8">
        <v>3</v>
      </c>
      <c r="C102" s="18" t="s">
        <v>340</v>
      </c>
    </row>
    <row r="103" spans="1:9" ht="18" x14ac:dyDescent="0.45">
      <c r="A103" s="3" t="s">
        <v>344</v>
      </c>
      <c r="B103" s="8">
        <v>23</v>
      </c>
      <c r="C103" s="18" t="s">
        <v>340</v>
      </c>
    </row>
    <row r="104" spans="1:9" ht="18" customHeight="1" x14ac:dyDescent="0.2">
      <c r="A104" s="33" t="s">
        <v>345</v>
      </c>
      <c r="B104" s="34"/>
      <c r="C104" s="34"/>
      <c r="D104" s="34"/>
      <c r="E104" s="34"/>
      <c r="F104" s="34"/>
      <c r="G104" s="34"/>
      <c r="H104" s="34"/>
      <c r="I104" s="34"/>
    </row>
    <row r="106" spans="1:9" ht="22.05" customHeight="1" x14ac:dyDescent="0.5">
      <c r="A106" s="14" t="s">
        <v>346</v>
      </c>
    </row>
    <row r="107" spans="1:9" ht="30" customHeight="1" x14ac:dyDescent="0.2">
      <c r="A107" s="4" t="s">
        <v>52</v>
      </c>
      <c r="B107" s="4" t="s">
        <v>13</v>
      </c>
      <c r="C107" s="4" t="s">
        <v>53</v>
      </c>
    </row>
    <row r="108" spans="1:9" ht="18" x14ac:dyDescent="0.45">
      <c r="A108" s="3" t="s">
        <v>93</v>
      </c>
      <c r="B108" s="8">
        <v>271</v>
      </c>
      <c r="C108" s="18" t="s">
        <v>304</v>
      </c>
    </row>
    <row r="109" spans="1:9" ht="18" x14ac:dyDescent="0.45">
      <c r="A109" s="3" t="s">
        <v>96</v>
      </c>
      <c r="B109" s="8">
        <v>49</v>
      </c>
      <c r="C109" s="18" t="s">
        <v>304</v>
      </c>
    </row>
    <row r="110" spans="1:9" ht="18" x14ac:dyDescent="0.45">
      <c r="A110" s="3" t="s">
        <v>308</v>
      </c>
      <c r="B110" s="8">
        <v>40</v>
      </c>
      <c r="C110" s="18" t="s">
        <v>304</v>
      </c>
    </row>
    <row r="111" spans="1:9" ht="18" x14ac:dyDescent="0.45">
      <c r="A111" s="3" t="s">
        <v>347</v>
      </c>
      <c r="B111" s="8">
        <v>34</v>
      </c>
      <c r="C111" s="18" t="s">
        <v>304</v>
      </c>
    </row>
    <row r="112" spans="1:9" ht="18" x14ac:dyDescent="0.45">
      <c r="A112" s="3" t="s">
        <v>348</v>
      </c>
      <c r="B112" s="8">
        <v>34</v>
      </c>
      <c r="C112" s="18" t="s">
        <v>304</v>
      </c>
    </row>
    <row r="113" spans="1:9" ht="18" customHeight="1" x14ac:dyDescent="0.2">
      <c r="A113" s="33" t="s">
        <v>349</v>
      </c>
      <c r="B113" s="34"/>
      <c r="C113" s="34"/>
      <c r="D113" s="34"/>
      <c r="E113" s="34"/>
      <c r="F113" s="34"/>
      <c r="G113" s="34"/>
      <c r="H113" s="34"/>
      <c r="I113" s="34"/>
    </row>
    <row r="115" spans="1:9" ht="22.05" customHeight="1" x14ac:dyDescent="0.5">
      <c r="A115" s="14" t="s">
        <v>350</v>
      </c>
    </row>
    <row r="116" spans="1:9" ht="30" customHeight="1" x14ac:dyDescent="0.2">
      <c r="A116" s="4" t="s">
        <v>52</v>
      </c>
      <c r="B116" s="4" t="s">
        <v>13</v>
      </c>
      <c r="C116" s="4" t="s">
        <v>53</v>
      </c>
    </row>
    <row r="117" spans="1:9" ht="18" x14ac:dyDescent="0.45">
      <c r="A117" s="3" t="s">
        <v>319</v>
      </c>
      <c r="B117" s="8">
        <v>423</v>
      </c>
      <c r="C117" s="18" t="s">
        <v>304</v>
      </c>
    </row>
    <row r="118" spans="1:9" ht="18" x14ac:dyDescent="0.45">
      <c r="A118" s="3" t="s">
        <v>321</v>
      </c>
      <c r="B118" s="8">
        <v>48</v>
      </c>
      <c r="C118" s="18" t="s">
        <v>304</v>
      </c>
    </row>
    <row r="119" spans="1:9" ht="18" x14ac:dyDescent="0.45">
      <c r="A119" s="3" t="s">
        <v>343</v>
      </c>
      <c r="B119" s="8">
        <v>11</v>
      </c>
      <c r="C119" s="18" t="s">
        <v>304</v>
      </c>
    </row>
    <row r="120" spans="1:9" ht="18" x14ac:dyDescent="0.45">
      <c r="A120" s="3" t="s">
        <v>344</v>
      </c>
      <c r="B120" s="8">
        <v>97</v>
      </c>
      <c r="C120" s="18" t="s">
        <v>304</v>
      </c>
    </row>
    <row r="121" spans="1:9" ht="31.95" customHeight="1" x14ac:dyDescent="0.2">
      <c r="A121" s="33" t="s">
        <v>351</v>
      </c>
      <c r="B121" s="34"/>
      <c r="C121" s="34"/>
      <c r="D121" s="34"/>
      <c r="E121" s="34"/>
      <c r="F121" s="34"/>
      <c r="G121" s="34"/>
      <c r="H121" s="34"/>
      <c r="I121" s="34"/>
    </row>
    <row r="123" spans="1:9" ht="22.05" customHeight="1" x14ac:dyDescent="0.5">
      <c r="A123" s="14" t="s">
        <v>352</v>
      </c>
    </row>
    <row r="124" spans="1:9" ht="30" customHeight="1" x14ac:dyDescent="0.2">
      <c r="A124" s="4" t="s">
        <v>52</v>
      </c>
      <c r="B124" s="4" t="s">
        <v>13</v>
      </c>
      <c r="C124" s="4" t="s">
        <v>53</v>
      </c>
    </row>
    <row r="125" spans="1:9" ht="18" x14ac:dyDescent="0.45">
      <c r="A125" s="3" t="s">
        <v>339</v>
      </c>
      <c r="B125" s="8">
        <v>83</v>
      </c>
      <c r="C125" s="18" t="s">
        <v>304</v>
      </c>
    </row>
    <row r="126" spans="1:9" ht="18" x14ac:dyDescent="0.45">
      <c r="A126" s="3" t="s">
        <v>314</v>
      </c>
      <c r="B126" s="8">
        <v>81</v>
      </c>
      <c r="C126" s="18" t="s">
        <v>304</v>
      </c>
    </row>
    <row r="127" spans="1:9" ht="18" x14ac:dyDescent="0.45">
      <c r="A127" s="3" t="s">
        <v>315</v>
      </c>
      <c r="B127" s="8">
        <v>196</v>
      </c>
      <c r="C127" s="18" t="s">
        <v>304</v>
      </c>
    </row>
    <row r="128" spans="1:9" ht="18" x14ac:dyDescent="0.45">
      <c r="A128" s="3" t="s">
        <v>86</v>
      </c>
      <c r="B128" s="8">
        <v>219</v>
      </c>
      <c r="C128" s="18" t="s">
        <v>304</v>
      </c>
    </row>
    <row r="129" spans="1:9" ht="31.95" customHeight="1" x14ac:dyDescent="0.2">
      <c r="A129" s="33" t="s">
        <v>353</v>
      </c>
      <c r="B129" s="34"/>
      <c r="C129" s="34"/>
      <c r="D129" s="34"/>
      <c r="E129" s="34"/>
      <c r="F129" s="34"/>
      <c r="G129" s="34"/>
      <c r="H129" s="34"/>
      <c r="I129" s="34"/>
    </row>
    <row r="131" spans="1:9" ht="22.05" customHeight="1" x14ac:dyDescent="0.5">
      <c r="A131" s="14" t="s">
        <v>147</v>
      </c>
    </row>
    <row r="132" spans="1:9" ht="31.95" customHeight="1" x14ac:dyDescent="0.2">
      <c r="A132" s="35" t="s">
        <v>354</v>
      </c>
      <c r="B132" s="34"/>
      <c r="C132" s="34"/>
      <c r="D132" s="34"/>
      <c r="E132" s="34"/>
      <c r="F132" s="34"/>
      <c r="G132" s="34"/>
      <c r="H132" s="34"/>
      <c r="I132" s="34"/>
    </row>
    <row r="133" spans="1:9" ht="31.95" customHeight="1" x14ac:dyDescent="0.2">
      <c r="A133" s="35" t="s">
        <v>355</v>
      </c>
      <c r="B133" s="34"/>
      <c r="C133" s="34"/>
      <c r="D133" s="34"/>
      <c r="E133" s="34"/>
      <c r="F133" s="34"/>
      <c r="G133" s="34"/>
      <c r="H133" s="34"/>
      <c r="I133" s="34"/>
    </row>
    <row r="134" spans="1:9" ht="31.95" customHeight="1" x14ac:dyDescent="0.2">
      <c r="A134" s="35" t="s">
        <v>356</v>
      </c>
      <c r="B134" s="34"/>
      <c r="C134" s="34"/>
      <c r="D134" s="34"/>
      <c r="E134" s="34"/>
      <c r="F134" s="34"/>
      <c r="G134" s="34"/>
      <c r="H134" s="34"/>
      <c r="I134" s="34"/>
    </row>
    <row r="135" spans="1:9" ht="48" customHeight="1" x14ac:dyDescent="0.2">
      <c r="A135" s="35" t="s">
        <v>357</v>
      </c>
      <c r="B135" s="34"/>
      <c r="C135" s="34"/>
      <c r="D135" s="34"/>
      <c r="E135" s="34"/>
      <c r="F135" s="34"/>
      <c r="G135" s="34"/>
      <c r="H135" s="34"/>
      <c r="I135" s="34"/>
    </row>
    <row r="136" spans="1:9" ht="31.95" customHeight="1" x14ac:dyDescent="0.2">
      <c r="A136" s="35" t="s">
        <v>358</v>
      </c>
      <c r="B136" s="34"/>
      <c r="C136" s="34"/>
      <c r="D136" s="34"/>
      <c r="E136" s="34"/>
      <c r="F136" s="34"/>
      <c r="G136" s="34"/>
      <c r="H136" s="34"/>
      <c r="I136" s="34"/>
    </row>
    <row r="138" spans="1:9" ht="22.05" customHeight="1" x14ac:dyDescent="0.5">
      <c r="A138" s="14" t="s">
        <v>153</v>
      </c>
    </row>
    <row r="139" spans="1:9" ht="31.95" customHeight="1" x14ac:dyDescent="0.2">
      <c r="A139" s="35" t="s">
        <v>359</v>
      </c>
      <c r="B139" s="34"/>
      <c r="C139" s="34"/>
      <c r="D139" s="34"/>
      <c r="E139" s="34"/>
      <c r="F139" s="34"/>
      <c r="G139" s="34"/>
      <c r="H139" s="34"/>
      <c r="I139" s="34"/>
    </row>
    <row r="140" spans="1:9" ht="31.95" customHeight="1" x14ac:dyDescent="0.2">
      <c r="A140" s="35" t="s">
        <v>360</v>
      </c>
      <c r="B140" s="34"/>
      <c r="C140" s="34"/>
      <c r="D140" s="34"/>
      <c r="E140" s="34"/>
      <c r="F140" s="34"/>
      <c r="G140" s="34"/>
      <c r="H140" s="34"/>
      <c r="I140" s="34"/>
    </row>
    <row r="141" spans="1:9" ht="31.95" customHeight="1" x14ac:dyDescent="0.2">
      <c r="A141" s="35" t="s">
        <v>361</v>
      </c>
      <c r="B141" s="34"/>
      <c r="C141" s="34"/>
      <c r="D141" s="34"/>
      <c r="E141" s="34"/>
      <c r="F141" s="34"/>
      <c r="G141" s="34"/>
      <c r="H141" s="34"/>
      <c r="I141" s="34"/>
    </row>
    <row r="142" spans="1:9" ht="48" customHeight="1" x14ac:dyDescent="0.2">
      <c r="A142" s="35" t="s">
        <v>362</v>
      </c>
      <c r="B142" s="34"/>
      <c r="C142" s="34"/>
      <c r="D142" s="34"/>
      <c r="E142" s="34"/>
      <c r="F142" s="34"/>
      <c r="G142" s="34"/>
      <c r="H142" s="34"/>
      <c r="I142" s="34"/>
    </row>
    <row r="144" spans="1:9" ht="22.05" customHeight="1" x14ac:dyDescent="0.5">
      <c r="A144" s="14" t="s">
        <v>158</v>
      </c>
    </row>
    <row r="145" spans="1:9" ht="18" customHeight="1" x14ac:dyDescent="0.2">
      <c r="A145" s="35" t="s">
        <v>363</v>
      </c>
      <c r="B145" s="34"/>
      <c r="C145" s="34"/>
      <c r="D145" s="34"/>
      <c r="E145" s="34"/>
      <c r="F145" s="34"/>
      <c r="G145" s="34"/>
      <c r="H145" s="34"/>
      <c r="I145" s="34"/>
    </row>
    <row r="146" spans="1:9" ht="31.95" customHeight="1" x14ac:dyDescent="0.2">
      <c r="A146" s="35" t="s">
        <v>364</v>
      </c>
      <c r="B146" s="34"/>
      <c r="C146" s="34"/>
      <c r="D146" s="34"/>
      <c r="E146" s="34"/>
      <c r="F146" s="34"/>
      <c r="G146" s="34"/>
      <c r="H146" s="34"/>
      <c r="I146" s="34"/>
    </row>
    <row r="147" spans="1:9" ht="18" customHeight="1" x14ac:dyDescent="0.2">
      <c r="A147" s="35" t="s">
        <v>365</v>
      </c>
      <c r="B147" s="34"/>
      <c r="C147" s="34"/>
      <c r="D147" s="34"/>
      <c r="E147" s="34"/>
      <c r="F147" s="34"/>
      <c r="G147" s="34"/>
      <c r="H147" s="34"/>
      <c r="I147" s="34"/>
    </row>
    <row r="148" spans="1:9" ht="18" customHeight="1" x14ac:dyDescent="0.2">
      <c r="A148" s="35" t="s">
        <v>366</v>
      </c>
      <c r="B148" s="34"/>
      <c r="C148" s="34"/>
      <c r="D148" s="34"/>
      <c r="E148" s="34"/>
      <c r="F148" s="34"/>
      <c r="G148" s="34"/>
      <c r="H148" s="34"/>
      <c r="I148" s="34"/>
    </row>
  </sheetData>
  <mergeCells count="26">
    <mergeCell ref="A147:I147"/>
    <mergeCell ref="A134:I134"/>
    <mergeCell ref="A121:I121"/>
    <mergeCell ref="A148:I148"/>
    <mergeCell ref="A82:I82"/>
    <mergeCell ref="A142:I142"/>
    <mergeCell ref="A88:I88"/>
    <mergeCell ref="A132:I132"/>
    <mergeCell ref="A146:I146"/>
    <mergeCell ref="A2:I2"/>
    <mergeCell ref="A129:I129"/>
    <mergeCell ref="A141:I141"/>
    <mergeCell ref="A17:I17"/>
    <mergeCell ref="A23:I23"/>
    <mergeCell ref="A140:I140"/>
    <mergeCell ref="A135:I135"/>
    <mergeCell ref="A22:I22"/>
    <mergeCell ref="A62:I62"/>
    <mergeCell ref="A96:I96"/>
    <mergeCell ref="A69:I69"/>
    <mergeCell ref="A133:I133"/>
    <mergeCell ref="A136:I136"/>
    <mergeCell ref="A145:I145"/>
    <mergeCell ref="A139:I139"/>
    <mergeCell ref="A104:I104"/>
    <mergeCell ref="A113:I113"/>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126"/>
  <sheetViews>
    <sheetView showGridLines="0" workbookViewId="0"/>
  </sheetViews>
  <sheetFormatPr defaultRowHeight="13.2" x14ac:dyDescent="0.2"/>
  <cols>
    <col min="1" max="1" width="40" customWidth="1"/>
    <col min="2" max="11" width="15" customWidth="1"/>
  </cols>
  <sheetData>
    <row r="1" spans="1:9" ht="25.95" customHeight="1" x14ac:dyDescent="0.6">
      <c r="A1" s="1" t="s">
        <v>39</v>
      </c>
    </row>
    <row r="2" spans="1:9" ht="64.05" customHeight="1" x14ac:dyDescent="0.2">
      <c r="A2" s="33" t="s">
        <v>367</v>
      </c>
      <c r="B2" s="34"/>
      <c r="C2" s="34"/>
      <c r="D2" s="34"/>
      <c r="E2" s="34"/>
      <c r="F2" s="34"/>
      <c r="G2" s="34"/>
      <c r="H2" s="34"/>
      <c r="I2" s="34"/>
    </row>
    <row r="4" spans="1:9" ht="22.05" customHeight="1" x14ac:dyDescent="0.5">
      <c r="A4" s="14" t="s">
        <v>46</v>
      </c>
    </row>
    <row r="5" spans="1:9" ht="30" customHeight="1" x14ac:dyDescent="0.2">
      <c r="A5" s="4" t="s">
        <v>47</v>
      </c>
      <c r="B5" s="4" t="s">
        <v>368</v>
      </c>
      <c r="C5" s="4" t="s">
        <v>369</v>
      </c>
      <c r="D5" s="4" t="s">
        <v>370</v>
      </c>
      <c r="E5" s="4" t="s">
        <v>52</v>
      </c>
      <c r="F5" s="4" t="s">
        <v>53</v>
      </c>
    </row>
    <row r="6" spans="1:9" ht="18" x14ac:dyDescent="0.45">
      <c r="A6" s="15">
        <v>2016</v>
      </c>
      <c r="B6" s="8">
        <v>17625</v>
      </c>
      <c r="C6" s="21">
        <v>13.9</v>
      </c>
      <c r="D6" s="16" t="s">
        <v>35</v>
      </c>
      <c r="E6" s="17" t="s">
        <v>54</v>
      </c>
      <c r="F6" s="18" t="s">
        <v>371</v>
      </c>
    </row>
    <row r="7" spans="1:9" ht="18" x14ac:dyDescent="0.45">
      <c r="A7" s="15">
        <v>2017</v>
      </c>
      <c r="B7" s="8">
        <v>16789</v>
      </c>
      <c r="C7" s="21">
        <v>13.3</v>
      </c>
      <c r="D7" s="16">
        <f t="shared" ref="D7:D15" si="0">IF(B6="","",B7/B6-1)</f>
        <v>-4.7432624113475153E-2</v>
      </c>
      <c r="E7" s="17" t="s">
        <v>54</v>
      </c>
      <c r="F7" s="18" t="s">
        <v>371</v>
      </c>
    </row>
    <row r="8" spans="1:9" ht="18" x14ac:dyDescent="0.45">
      <c r="A8" s="15">
        <v>2018</v>
      </c>
      <c r="B8" s="8">
        <v>15590</v>
      </c>
      <c r="C8" s="21">
        <v>12.3</v>
      </c>
      <c r="D8" s="16">
        <f t="shared" si="0"/>
        <v>-7.1415807969503864E-2</v>
      </c>
      <c r="E8" s="17" t="s">
        <v>54</v>
      </c>
      <c r="F8" s="18" t="s">
        <v>371</v>
      </c>
    </row>
    <row r="9" spans="1:9" ht="18" x14ac:dyDescent="0.45">
      <c r="A9" s="15">
        <v>2019</v>
      </c>
      <c r="B9" s="8">
        <v>14460</v>
      </c>
      <c r="C9" s="21">
        <v>11.5</v>
      </c>
      <c r="D9" s="16">
        <f t="shared" si="0"/>
        <v>-7.2482360487492015E-2</v>
      </c>
      <c r="E9" s="17" t="s">
        <v>54</v>
      </c>
      <c r="F9" s="18" t="s">
        <v>371</v>
      </c>
    </row>
    <row r="10" spans="1:9" ht="18" x14ac:dyDescent="0.45">
      <c r="A10" s="15">
        <v>2020</v>
      </c>
      <c r="B10" s="8">
        <v>12739</v>
      </c>
      <c r="C10" s="21">
        <v>10.1</v>
      </c>
      <c r="D10" s="16">
        <f t="shared" si="0"/>
        <v>-0.11901798063623792</v>
      </c>
      <c r="E10" s="17" t="s">
        <v>54</v>
      </c>
      <c r="F10" s="18" t="s">
        <v>371</v>
      </c>
    </row>
    <row r="11" spans="1:9" ht="18" x14ac:dyDescent="0.45">
      <c r="A11" s="15">
        <v>2021</v>
      </c>
      <c r="B11" s="8">
        <v>11519</v>
      </c>
      <c r="C11" s="21">
        <v>9.1999999999999993</v>
      </c>
      <c r="D11" s="16">
        <f t="shared" si="0"/>
        <v>-9.5768898657665469E-2</v>
      </c>
      <c r="E11" s="17" t="s">
        <v>54</v>
      </c>
      <c r="F11" s="18" t="s">
        <v>371</v>
      </c>
    </row>
    <row r="12" spans="1:9" ht="18" x14ac:dyDescent="0.45">
      <c r="A12" s="15">
        <v>2022</v>
      </c>
      <c r="B12" s="8">
        <v>10235</v>
      </c>
      <c r="C12" s="21">
        <v>8.1999999999999993</v>
      </c>
      <c r="D12" s="16">
        <f t="shared" si="0"/>
        <v>-0.11146800937581391</v>
      </c>
      <c r="E12" s="17" t="s">
        <v>54</v>
      </c>
      <c r="F12" s="18" t="s">
        <v>371</v>
      </c>
    </row>
    <row r="13" spans="1:9" ht="18" x14ac:dyDescent="0.45">
      <c r="A13" s="15">
        <v>2023</v>
      </c>
      <c r="B13" s="8">
        <v>10096</v>
      </c>
      <c r="C13" s="21">
        <v>8.1</v>
      </c>
      <c r="D13" s="16">
        <f t="shared" si="0"/>
        <v>-1.3580850024425994E-2</v>
      </c>
      <c r="E13" s="17" t="s">
        <v>54</v>
      </c>
      <c r="F13" s="18" t="s">
        <v>371</v>
      </c>
    </row>
    <row r="14" spans="1:9" ht="18" x14ac:dyDescent="0.45">
      <c r="A14" s="15">
        <v>2024</v>
      </c>
      <c r="B14" s="8">
        <v>10051</v>
      </c>
      <c r="C14" s="21">
        <v>8.1</v>
      </c>
      <c r="D14" s="16">
        <f t="shared" si="0"/>
        <v>-4.4572107765451507E-3</v>
      </c>
      <c r="E14" s="17" t="s">
        <v>54</v>
      </c>
      <c r="F14" s="18" t="s">
        <v>371</v>
      </c>
    </row>
    <row r="15" spans="1:9" ht="18" x14ac:dyDescent="0.45">
      <c r="A15" s="15">
        <v>2025</v>
      </c>
      <c r="B15" s="8">
        <v>9899</v>
      </c>
      <c r="C15" s="21">
        <v>8</v>
      </c>
      <c r="D15" s="16">
        <f t="shared" si="0"/>
        <v>-1.5122873345935761E-2</v>
      </c>
      <c r="E15" s="17" t="s">
        <v>54</v>
      </c>
      <c r="F15" s="18" t="s">
        <v>371</v>
      </c>
    </row>
    <row r="16" spans="1:9" ht="18" customHeight="1" x14ac:dyDescent="0.2">
      <c r="A16" s="33" t="s">
        <v>56</v>
      </c>
      <c r="B16" s="34"/>
      <c r="C16" s="34"/>
      <c r="D16" s="34"/>
      <c r="E16" s="34"/>
      <c r="F16" s="34"/>
      <c r="G16" s="34"/>
      <c r="H16" s="34"/>
      <c r="I16" s="34"/>
    </row>
    <row r="18" spans="1:9" ht="22.05" customHeight="1" x14ac:dyDescent="0.5">
      <c r="A18" s="14" t="s">
        <v>57</v>
      </c>
    </row>
    <row r="19" spans="1:9" ht="30" customHeight="1" x14ac:dyDescent="0.2">
      <c r="A19" s="4" t="s">
        <v>58</v>
      </c>
      <c r="B19" s="4" t="s">
        <v>59</v>
      </c>
      <c r="C19" s="4" t="s">
        <v>60</v>
      </c>
      <c r="D19" s="4" t="s">
        <v>61</v>
      </c>
      <c r="E19" s="4" t="s">
        <v>32</v>
      </c>
      <c r="F19" s="4" t="s">
        <v>52</v>
      </c>
      <c r="G19" s="4" t="s">
        <v>53</v>
      </c>
    </row>
    <row r="20" spans="1:9" ht="49.95" customHeight="1" x14ac:dyDescent="0.45">
      <c r="A20" s="3" t="s">
        <v>372</v>
      </c>
      <c r="B20" s="3" t="s">
        <v>246</v>
      </c>
      <c r="C20" s="8">
        <v>11543</v>
      </c>
      <c r="D20" s="8">
        <v>11145</v>
      </c>
      <c r="E20" s="9">
        <f>C20/D20-1</f>
        <v>3.5711081202332906E-2</v>
      </c>
      <c r="F20" s="17" t="s">
        <v>63</v>
      </c>
      <c r="G20" s="18" t="s">
        <v>373</v>
      </c>
    </row>
    <row r="21" spans="1:9" ht="18" customHeight="1" x14ac:dyDescent="0.2">
      <c r="A21" s="33" t="s">
        <v>374</v>
      </c>
      <c r="B21" s="34"/>
      <c r="C21" s="34"/>
      <c r="D21" s="34"/>
      <c r="E21" s="34"/>
      <c r="F21" s="34"/>
      <c r="G21" s="34"/>
      <c r="H21" s="34"/>
      <c r="I21" s="34"/>
    </row>
    <row r="22" spans="1:9" ht="64.05" customHeight="1" x14ac:dyDescent="0.2">
      <c r="A22" s="33" t="s">
        <v>375</v>
      </c>
      <c r="B22" s="34"/>
      <c r="C22" s="34"/>
      <c r="D22" s="34"/>
      <c r="E22" s="34"/>
      <c r="F22" s="34"/>
      <c r="G22" s="34"/>
      <c r="H22" s="34"/>
      <c r="I22" s="34"/>
    </row>
    <row r="24" spans="1:9" ht="22.05" customHeight="1" x14ac:dyDescent="0.5">
      <c r="A24" s="14" t="s">
        <v>72</v>
      </c>
    </row>
    <row r="25" spans="1:9" ht="30" customHeight="1" x14ac:dyDescent="0.2">
      <c r="A25" s="4" t="s">
        <v>52</v>
      </c>
      <c r="B25" s="4" t="s">
        <v>368</v>
      </c>
      <c r="C25" s="4" t="s">
        <v>376</v>
      </c>
      <c r="D25" s="4" t="s">
        <v>369</v>
      </c>
      <c r="E25" s="4" t="s">
        <v>53</v>
      </c>
    </row>
    <row r="26" spans="1:9" ht="18" x14ac:dyDescent="0.45">
      <c r="A26" s="3" t="s">
        <v>377</v>
      </c>
      <c r="B26" s="8">
        <v>9899</v>
      </c>
      <c r="C26" s="21">
        <v>100</v>
      </c>
      <c r="D26" s="21">
        <v>8</v>
      </c>
      <c r="E26" s="18" t="s">
        <v>371</v>
      </c>
    </row>
    <row r="27" spans="1:9" ht="18" x14ac:dyDescent="0.45">
      <c r="A27" s="3" t="s">
        <v>378</v>
      </c>
      <c r="B27" s="8">
        <v>16</v>
      </c>
      <c r="C27" s="21">
        <v>0.2</v>
      </c>
      <c r="D27" s="21">
        <v>0.4</v>
      </c>
      <c r="E27" s="18" t="s">
        <v>371</v>
      </c>
    </row>
    <row r="28" spans="1:9" ht="18" x14ac:dyDescent="0.45">
      <c r="A28" s="3" t="s">
        <v>379</v>
      </c>
      <c r="B28" s="8">
        <v>9</v>
      </c>
      <c r="C28" s="21">
        <v>0.1</v>
      </c>
      <c r="D28" s="21">
        <v>0.2</v>
      </c>
      <c r="E28" s="18" t="s">
        <v>371</v>
      </c>
    </row>
    <row r="29" spans="1:9" ht="18" x14ac:dyDescent="0.45">
      <c r="A29" s="3" t="s">
        <v>380</v>
      </c>
      <c r="B29" s="8">
        <v>6</v>
      </c>
      <c r="C29" s="21">
        <v>0.1</v>
      </c>
      <c r="D29" s="21">
        <v>0.1</v>
      </c>
      <c r="E29" s="18" t="s">
        <v>371</v>
      </c>
    </row>
    <row r="30" spans="1:9" ht="18" x14ac:dyDescent="0.45">
      <c r="A30" s="3" t="s">
        <v>381</v>
      </c>
      <c r="B30" s="8">
        <v>115</v>
      </c>
      <c r="C30" s="21">
        <v>1.2</v>
      </c>
      <c r="D30" s="21">
        <v>2.1</v>
      </c>
      <c r="E30" s="18" t="s">
        <v>371</v>
      </c>
    </row>
    <row r="31" spans="1:9" ht="18" x14ac:dyDescent="0.45">
      <c r="A31" s="3" t="s">
        <v>382</v>
      </c>
      <c r="B31" s="8">
        <v>1627</v>
      </c>
      <c r="C31" s="21">
        <v>16.399999999999999</v>
      </c>
      <c r="D31" s="21">
        <v>12.8</v>
      </c>
      <c r="E31" s="18" t="s">
        <v>371</v>
      </c>
    </row>
    <row r="32" spans="1:9" ht="18" x14ac:dyDescent="0.45">
      <c r="A32" s="3" t="s">
        <v>383</v>
      </c>
      <c r="B32" s="8">
        <v>574</v>
      </c>
      <c r="C32" s="21">
        <v>5.8</v>
      </c>
      <c r="D32" s="21">
        <v>4.4000000000000004</v>
      </c>
      <c r="E32" s="18" t="s">
        <v>371</v>
      </c>
    </row>
    <row r="33" spans="1:5" ht="18" x14ac:dyDescent="0.45">
      <c r="A33" s="3" t="s">
        <v>384</v>
      </c>
      <c r="B33" s="8">
        <v>457</v>
      </c>
      <c r="C33" s="21">
        <v>4.5999999999999996</v>
      </c>
      <c r="D33" s="21">
        <v>2.9</v>
      </c>
      <c r="E33" s="18" t="s">
        <v>371</v>
      </c>
    </row>
    <row r="34" spans="1:5" ht="18" x14ac:dyDescent="0.45">
      <c r="A34" s="3" t="s">
        <v>385</v>
      </c>
      <c r="B34" s="8">
        <v>657</v>
      </c>
      <c r="C34" s="21">
        <v>6.6</v>
      </c>
      <c r="D34" s="21">
        <v>3.6</v>
      </c>
      <c r="E34" s="18" t="s">
        <v>371</v>
      </c>
    </row>
    <row r="35" spans="1:5" ht="18" x14ac:dyDescent="0.45">
      <c r="A35" s="3" t="s">
        <v>386</v>
      </c>
      <c r="B35" s="8">
        <v>761</v>
      </c>
      <c r="C35" s="21">
        <v>7.7</v>
      </c>
      <c r="D35" s="21">
        <v>5.0999999999999996</v>
      </c>
      <c r="E35" s="18" t="s">
        <v>371</v>
      </c>
    </row>
    <row r="36" spans="1:5" ht="18" x14ac:dyDescent="0.45">
      <c r="A36" s="3" t="s">
        <v>387</v>
      </c>
      <c r="B36" s="8">
        <v>1640</v>
      </c>
      <c r="C36" s="21">
        <v>16.600000000000001</v>
      </c>
      <c r="D36" s="21">
        <v>10.199999999999999</v>
      </c>
      <c r="E36" s="18" t="s">
        <v>371</v>
      </c>
    </row>
    <row r="37" spans="1:5" ht="18" x14ac:dyDescent="0.45">
      <c r="A37" s="3" t="s">
        <v>388</v>
      </c>
      <c r="B37" s="8">
        <v>2705</v>
      </c>
      <c r="C37" s="21">
        <v>27.3</v>
      </c>
      <c r="D37" s="21">
        <v>27.1</v>
      </c>
      <c r="E37" s="18" t="s">
        <v>371</v>
      </c>
    </row>
    <row r="38" spans="1:5" ht="18" x14ac:dyDescent="0.45">
      <c r="A38" s="3" t="s">
        <v>389</v>
      </c>
      <c r="B38" s="8">
        <v>1332</v>
      </c>
      <c r="C38" s="21">
        <v>13.5</v>
      </c>
      <c r="D38" s="21">
        <v>47.1</v>
      </c>
      <c r="E38" s="18" t="s">
        <v>371</v>
      </c>
    </row>
    <row r="40" spans="1:5" ht="22.05" customHeight="1" x14ac:dyDescent="0.5">
      <c r="A40" s="14" t="s">
        <v>390</v>
      </c>
    </row>
    <row r="41" spans="1:5" ht="30" customHeight="1" x14ac:dyDescent="0.2">
      <c r="A41" s="4" t="s">
        <v>52</v>
      </c>
      <c r="B41" s="4" t="s">
        <v>89</v>
      </c>
      <c r="C41" s="4" t="s">
        <v>369</v>
      </c>
      <c r="D41" s="4" t="s">
        <v>259</v>
      </c>
      <c r="E41" s="4" t="s">
        <v>53</v>
      </c>
    </row>
    <row r="42" spans="1:5" ht="18" x14ac:dyDescent="0.45">
      <c r="A42" s="3" t="s">
        <v>95</v>
      </c>
      <c r="B42" s="19">
        <v>1</v>
      </c>
      <c r="C42" s="21">
        <v>13.4</v>
      </c>
      <c r="D42" s="8">
        <v>1172</v>
      </c>
      <c r="E42" s="18" t="s">
        <v>371</v>
      </c>
    </row>
    <row r="43" spans="1:5" ht="18" x14ac:dyDescent="0.45">
      <c r="A43" s="3" t="s">
        <v>391</v>
      </c>
      <c r="B43" s="19">
        <v>2</v>
      </c>
      <c r="C43" s="21">
        <v>10.5</v>
      </c>
      <c r="D43" s="8">
        <v>71</v>
      </c>
      <c r="E43" s="18" t="s">
        <v>371</v>
      </c>
    </row>
    <row r="44" spans="1:5" ht="18" x14ac:dyDescent="0.45">
      <c r="A44" s="3" t="s">
        <v>392</v>
      </c>
      <c r="B44" s="19">
        <v>3</v>
      </c>
      <c r="C44" s="21">
        <v>10.4</v>
      </c>
      <c r="D44" s="8">
        <v>196</v>
      </c>
      <c r="E44" s="18" t="s">
        <v>371</v>
      </c>
    </row>
    <row r="45" spans="1:5" ht="18" x14ac:dyDescent="0.45">
      <c r="A45" s="3" t="s">
        <v>348</v>
      </c>
      <c r="B45" s="19">
        <v>4</v>
      </c>
      <c r="C45" s="21">
        <v>10.3</v>
      </c>
      <c r="D45" s="8">
        <v>156</v>
      </c>
      <c r="E45" s="18" t="s">
        <v>371</v>
      </c>
    </row>
    <row r="46" spans="1:5" ht="18" x14ac:dyDescent="0.45">
      <c r="A46" s="3" t="s">
        <v>310</v>
      </c>
      <c r="B46" s="19">
        <v>5</v>
      </c>
      <c r="C46" s="21">
        <v>10.1</v>
      </c>
      <c r="D46" s="8">
        <v>536</v>
      </c>
      <c r="E46" s="18" t="s">
        <v>371</v>
      </c>
    </row>
    <row r="48" spans="1:5" ht="22.05" customHeight="1" x14ac:dyDescent="0.5">
      <c r="A48" s="14" t="s">
        <v>393</v>
      </c>
    </row>
    <row r="49" spans="1:4" ht="30" customHeight="1" x14ac:dyDescent="0.2">
      <c r="A49" s="4" t="s">
        <v>52</v>
      </c>
      <c r="B49" s="4" t="s">
        <v>259</v>
      </c>
      <c r="C49" s="4" t="s">
        <v>394</v>
      </c>
      <c r="D49" s="4" t="s">
        <v>53</v>
      </c>
    </row>
    <row r="50" spans="1:4" ht="30" customHeight="1" x14ac:dyDescent="0.45">
      <c r="A50" s="3" t="s">
        <v>395</v>
      </c>
      <c r="B50" s="8">
        <v>2352</v>
      </c>
      <c r="C50" s="21">
        <v>23.8</v>
      </c>
      <c r="D50" s="18" t="s">
        <v>371</v>
      </c>
    </row>
    <row r="51" spans="1:4" ht="30" customHeight="1" x14ac:dyDescent="0.45">
      <c r="A51" s="3" t="s">
        <v>396</v>
      </c>
      <c r="B51" s="8">
        <v>1470</v>
      </c>
      <c r="C51" s="21">
        <v>62.5</v>
      </c>
      <c r="D51" s="18" t="s">
        <v>371</v>
      </c>
    </row>
    <row r="52" spans="1:4" ht="18" x14ac:dyDescent="0.45">
      <c r="A52" s="3" t="s">
        <v>397</v>
      </c>
      <c r="B52" s="8">
        <v>7400</v>
      </c>
      <c r="C52" s="24" t="s">
        <v>261</v>
      </c>
      <c r="D52" s="18" t="s">
        <v>371</v>
      </c>
    </row>
    <row r="54" spans="1:4" ht="22.05" customHeight="1" x14ac:dyDescent="0.5">
      <c r="A54" s="14" t="s">
        <v>398</v>
      </c>
    </row>
    <row r="55" spans="1:4" ht="30" customHeight="1" x14ac:dyDescent="0.2">
      <c r="A55" s="4" t="s">
        <v>52</v>
      </c>
      <c r="B55" s="4" t="s">
        <v>259</v>
      </c>
      <c r="C55" s="4" t="s">
        <v>399</v>
      </c>
      <c r="D55" s="4" t="s">
        <v>53</v>
      </c>
    </row>
    <row r="56" spans="1:4" ht="18" x14ac:dyDescent="0.45">
      <c r="A56" s="3" t="s">
        <v>128</v>
      </c>
      <c r="B56" s="8">
        <v>1313</v>
      </c>
      <c r="C56" s="21">
        <v>11.4</v>
      </c>
      <c r="D56" s="18" t="s">
        <v>371</v>
      </c>
    </row>
    <row r="57" spans="1:4" ht="18" x14ac:dyDescent="0.45">
      <c r="A57" s="3" t="s">
        <v>129</v>
      </c>
      <c r="B57" s="8">
        <v>1214</v>
      </c>
      <c r="C57" s="21">
        <v>11.9</v>
      </c>
      <c r="D57" s="18" t="s">
        <v>371</v>
      </c>
    </row>
    <row r="58" spans="1:4" ht="18" x14ac:dyDescent="0.45">
      <c r="A58" s="3" t="s">
        <v>130</v>
      </c>
      <c r="B58" s="8">
        <v>1619</v>
      </c>
      <c r="C58" s="21">
        <v>16</v>
      </c>
      <c r="D58" s="18" t="s">
        <v>371</v>
      </c>
    </row>
    <row r="59" spans="1:4" ht="18" x14ac:dyDescent="0.45">
      <c r="A59" s="3" t="s">
        <v>131</v>
      </c>
      <c r="B59" s="8">
        <v>1980</v>
      </c>
      <c r="C59" s="21">
        <v>19.7</v>
      </c>
      <c r="D59" s="18" t="s">
        <v>371</v>
      </c>
    </row>
    <row r="60" spans="1:4" ht="18" x14ac:dyDescent="0.45">
      <c r="A60" s="3" t="s">
        <v>132</v>
      </c>
      <c r="B60" s="8">
        <v>2352</v>
      </c>
      <c r="C60" s="21">
        <v>23.8</v>
      </c>
      <c r="D60" s="18" t="s">
        <v>371</v>
      </c>
    </row>
    <row r="62" spans="1:4" ht="22.05" customHeight="1" x14ac:dyDescent="0.5">
      <c r="A62" s="14" t="s">
        <v>400</v>
      </c>
    </row>
    <row r="63" spans="1:4" ht="30" customHeight="1" x14ac:dyDescent="0.2">
      <c r="A63" s="4" t="s">
        <v>52</v>
      </c>
      <c r="B63" s="4" t="s">
        <v>259</v>
      </c>
      <c r="C63" s="4" t="s">
        <v>401</v>
      </c>
      <c r="D63" s="4" t="s">
        <v>53</v>
      </c>
    </row>
    <row r="64" spans="1:4" ht="18" x14ac:dyDescent="0.45">
      <c r="A64" s="3" t="s">
        <v>378</v>
      </c>
      <c r="B64" s="8">
        <v>4</v>
      </c>
      <c r="C64" s="21">
        <v>25</v>
      </c>
      <c r="D64" s="18" t="s">
        <v>371</v>
      </c>
    </row>
    <row r="65" spans="1:4" ht="18" x14ac:dyDescent="0.45">
      <c r="A65" s="3" t="s">
        <v>379</v>
      </c>
      <c r="B65" s="8">
        <v>2</v>
      </c>
      <c r="C65" s="21">
        <v>22.2</v>
      </c>
      <c r="D65" s="18" t="s">
        <v>371</v>
      </c>
    </row>
    <row r="66" spans="1:4" ht="18" x14ac:dyDescent="0.45">
      <c r="A66" s="3" t="s">
        <v>380</v>
      </c>
      <c r="B66" s="8">
        <v>4</v>
      </c>
      <c r="C66" s="21">
        <v>66.7</v>
      </c>
      <c r="D66" s="18" t="s">
        <v>371</v>
      </c>
    </row>
    <row r="67" spans="1:4" ht="18" x14ac:dyDescent="0.45">
      <c r="A67" s="3" t="s">
        <v>381</v>
      </c>
      <c r="B67" s="8">
        <v>99</v>
      </c>
      <c r="C67" s="21">
        <v>86.1</v>
      </c>
      <c r="D67" s="18" t="s">
        <v>371</v>
      </c>
    </row>
    <row r="68" spans="1:4" ht="18" x14ac:dyDescent="0.45">
      <c r="A68" s="3" t="s">
        <v>382</v>
      </c>
      <c r="B68" s="8">
        <v>1483</v>
      </c>
      <c r="C68" s="21">
        <v>91.1</v>
      </c>
      <c r="D68" s="18" t="s">
        <v>371</v>
      </c>
    </row>
    <row r="69" spans="1:4" ht="18" x14ac:dyDescent="0.45">
      <c r="A69" s="3" t="s">
        <v>383</v>
      </c>
      <c r="B69" s="8">
        <v>421</v>
      </c>
      <c r="C69" s="21">
        <v>73.3</v>
      </c>
      <c r="D69" s="18" t="s">
        <v>371</v>
      </c>
    </row>
    <row r="70" spans="1:4" ht="18" x14ac:dyDescent="0.45">
      <c r="A70" s="3" t="s">
        <v>384</v>
      </c>
      <c r="B70" s="8">
        <v>143</v>
      </c>
      <c r="C70" s="21">
        <v>31.3</v>
      </c>
      <c r="D70" s="18" t="s">
        <v>371</v>
      </c>
    </row>
    <row r="71" spans="1:4" ht="18" x14ac:dyDescent="0.45">
      <c r="A71" s="3" t="s">
        <v>385</v>
      </c>
      <c r="B71" s="8">
        <v>86</v>
      </c>
      <c r="C71" s="21">
        <v>13.1</v>
      </c>
      <c r="D71" s="18" t="s">
        <v>371</v>
      </c>
    </row>
    <row r="72" spans="1:4" ht="18" x14ac:dyDescent="0.45">
      <c r="A72" s="3" t="s">
        <v>386</v>
      </c>
      <c r="B72" s="8">
        <v>56</v>
      </c>
      <c r="C72" s="21">
        <v>7.4</v>
      </c>
      <c r="D72" s="18" t="s">
        <v>371</v>
      </c>
    </row>
    <row r="73" spans="1:4" ht="18" x14ac:dyDescent="0.45">
      <c r="A73" s="3" t="s">
        <v>387</v>
      </c>
      <c r="B73" s="8">
        <v>24</v>
      </c>
      <c r="C73" s="21">
        <v>1.5</v>
      </c>
      <c r="D73" s="18" t="s">
        <v>371</v>
      </c>
    </row>
    <row r="74" spans="1:4" ht="18" x14ac:dyDescent="0.45">
      <c r="A74" s="3" t="s">
        <v>402</v>
      </c>
      <c r="B74" s="8">
        <v>30</v>
      </c>
      <c r="C74" s="21">
        <v>0.7</v>
      </c>
      <c r="D74" s="18" t="s">
        <v>371</v>
      </c>
    </row>
    <row r="76" spans="1:4" ht="22.05" customHeight="1" x14ac:dyDescent="0.5">
      <c r="A76" s="14" t="s">
        <v>403</v>
      </c>
    </row>
    <row r="77" spans="1:4" ht="30" customHeight="1" x14ac:dyDescent="0.2">
      <c r="A77" s="4" t="s">
        <v>52</v>
      </c>
      <c r="B77" s="4" t="s">
        <v>368</v>
      </c>
      <c r="C77" s="4" t="s">
        <v>394</v>
      </c>
      <c r="D77" s="4" t="s">
        <v>53</v>
      </c>
    </row>
    <row r="78" spans="1:4" ht="18" x14ac:dyDescent="0.45">
      <c r="A78" s="3" t="s">
        <v>388</v>
      </c>
      <c r="B78" s="8">
        <v>2705</v>
      </c>
      <c r="C78" s="21">
        <v>27.3</v>
      </c>
      <c r="D78" s="18" t="s">
        <v>371</v>
      </c>
    </row>
    <row r="79" spans="1:4" ht="18" x14ac:dyDescent="0.45">
      <c r="A79" s="3" t="s">
        <v>389</v>
      </c>
      <c r="B79" s="8">
        <v>1332</v>
      </c>
      <c r="C79" s="21">
        <v>13.5</v>
      </c>
      <c r="D79" s="18" t="s">
        <v>371</v>
      </c>
    </row>
    <row r="80" spans="1:4" ht="30" customHeight="1" x14ac:dyDescent="0.45">
      <c r="A80" s="3" t="s">
        <v>404</v>
      </c>
      <c r="B80" s="8">
        <v>4037</v>
      </c>
      <c r="C80" s="21">
        <v>40.799999999999997</v>
      </c>
      <c r="D80" s="18" t="s">
        <v>371</v>
      </c>
    </row>
    <row r="81" spans="1:4" ht="30" customHeight="1" x14ac:dyDescent="0.45">
      <c r="A81" s="3" t="s">
        <v>405</v>
      </c>
      <c r="B81" s="8">
        <v>5677</v>
      </c>
      <c r="C81" s="21">
        <v>57.3</v>
      </c>
      <c r="D81" s="18" t="s">
        <v>371</v>
      </c>
    </row>
    <row r="83" spans="1:4" ht="22.05" customHeight="1" x14ac:dyDescent="0.5">
      <c r="A83" s="14" t="s">
        <v>406</v>
      </c>
    </row>
    <row r="84" spans="1:4" ht="30" customHeight="1" x14ac:dyDescent="0.2">
      <c r="A84" s="4" t="s">
        <v>52</v>
      </c>
      <c r="B84" s="4" t="s">
        <v>368</v>
      </c>
      <c r="C84" s="4" t="s">
        <v>369</v>
      </c>
      <c r="D84" s="4" t="s">
        <v>53</v>
      </c>
    </row>
    <row r="85" spans="1:4" ht="18" x14ac:dyDescent="0.45">
      <c r="A85" s="3" t="s">
        <v>407</v>
      </c>
      <c r="B85" s="8">
        <v>35</v>
      </c>
      <c r="C85" s="21">
        <v>4.5</v>
      </c>
      <c r="D85" s="18" t="s">
        <v>371</v>
      </c>
    </row>
    <row r="86" spans="1:4" ht="18" x14ac:dyDescent="0.45">
      <c r="A86" s="3" t="s">
        <v>408</v>
      </c>
      <c r="B86" s="8">
        <v>52</v>
      </c>
      <c r="C86" s="21">
        <v>4.5999999999999996</v>
      </c>
      <c r="D86" s="18" t="s">
        <v>371</v>
      </c>
    </row>
    <row r="87" spans="1:4" ht="18" x14ac:dyDescent="0.45">
      <c r="A87" s="3" t="s">
        <v>409</v>
      </c>
      <c r="B87" s="8">
        <v>97</v>
      </c>
      <c r="C87" s="21">
        <v>4.7</v>
      </c>
      <c r="D87" s="18" t="s">
        <v>371</v>
      </c>
    </row>
    <row r="88" spans="1:4" ht="18" x14ac:dyDescent="0.45">
      <c r="A88" s="3" t="s">
        <v>410</v>
      </c>
      <c r="B88" s="8">
        <v>42</v>
      </c>
      <c r="C88" s="21">
        <v>4.8</v>
      </c>
      <c r="D88" s="18" t="s">
        <v>371</v>
      </c>
    </row>
    <row r="89" spans="1:4" ht="18" x14ac:dyDescent="0.45">
      <c r="A89" s="3" t="s">
        <v>411</v>
      </c>
      <c r="B89" s="8">
        <v>112</v>
      </c>
      <c r="C89" s="21">
        <v>5</v>
      </c>
      <c r="D89" s="18" t="s">
        <v>371</v>
      </c>
    </row>
    <row r="91" spans="1:4" ht="22.05" customHeight="1" x14ac:dyDescent="0.5">
      <c r="A91" s="14" t="s">
        <v>412</v>
      </c>
    </row>
    <row r="92" spans="1:4" ht="30" customHeight="1" x14ac:dyDescent="0.2">
      <c r="A92" s="4" t="s">
        <v>52</v>
      </c>
      <c r="B92" s="4" t="s">
        <v>413</v>
      </c>
      <c r="C92" s="4" t="s">
        <v>414</v>
      </c>
      <c r="D92" s="4" t="s">
        <v>53</v>
      </c>
    </row>
    <row r="93" spans="1:4" ht="18" x14ac:dyDescent="0.45">
      <c r="A93" s="3" t="s">
        <v>272</v>
      </c>
      <c r="B93" s="8">
        <v>1893</v>
      </c>
      <c r="C93" s="21">
        <v>1.5</v>
      </c>
      <c r="D93" s="18" t="s">
        <v>371</v>
      </c>
    </row>
    <row r="94" spans="1:4" ht="18" x14ac:dyDescent="0.45">
      <c r="A94" s="3" t="s">
        <v>273</v>
      </c>
      <c r="B94" s="8">
        <v>2306</v>
      </c>
      <c r="C94" s="21">
        <v>1.9</v>
      </c>
      <c r="D94" s="18" t="s">
        <v>371</v>
      </c>
    </row>
    <row r="95" spans="1:4" ht="18" x14ac:dyDescent="0.45">
      <c r="A95" s="3" t="s">
        <v>274</v>
      </c>
      <c r="B95" s="8">
        <v>2204</v>
      </c>
      <c r="C95" s="21">
        <v>1.8</v>
      </c>
      <c r="D95" s="18" t="s">
        <v>371</v>
      </c>
    </row>
    <row r="96" spans="1:4" ht="18" x14ac:dyDescent="0.45">
      <c r="A96" s="3" t="s">
        <v>126</v>
      </c>
      <c r="B96" s="8">
        <v>2087</v>
      </c>
      <c r="C96" s="21">
        <v>1.7</v>
      </c>
      <c r="D96" s="18" t="s">
        <v>371</v>
      </c>
    </row>
    <row r="97" spans="1:9" ht="18" x14ac:dyDescent="0.45">
      <c r="A97" s="3" t="s">
        <v>127</v>
      </c>
      <c r="B97" s="8">
        <v>1909</v>
      </c>
      <c r="C97" s="21">
        <v>1.5</v>
      </c>
      <c r="D97" s="18" t="s">
        <v>371</v>
      </c>
    </row>
    <row r="98" spans="1:9" ht="18" x14ac:dyDescent="0.45">
      <c r="A98" s="3" t="s">
        <v>128</v>
      </c>
      <c r="B98" s="8">
        <v>1845</v>
      </c>
      <c r="C98" s="21">
        <v>1.5</v>
      </c>
      <c r="D98" s="18" t="s">
        <v>371</v>
      </c>
    </row>
    <row r="99" spans="1:9" ht="18" x14ac:dyDescent="0.45">
      <c r="A99" s="3" t="s">
        <v>129</v>
      </c>
      <c r="B99" s="8">
        <v>1664</v>
      </c>
      <c r="C99" s="21">
        <v>1.4</v>
      </c>
      <c r="D99" s="18" t="s">
        <v>371</v>
      </c>
    </row>
    <row r="100" spans="1:9" ht="18" x14ac:dyDescent="0.45">
      <c r="A100" s="3" t="s">
        <v>130</v>
      </c>
      <c r="B100" s="8">
        <v>1587</v>
      </c>
      <c r="C100" s="21">
        <v>1.3</v>
      </c>
      <c r="D100" s="18" t="s">
        <v>371</v>
      </c>
    </row>
    <row r="101" spans="1:9" ht="18" x14ac:dyDescent="0.45">
      <c r="A101" s="3" t="s">
        <v>131</v>
      </c>
      <c r="B101" s="8">
        <v>1462</v>
      </c>
      <c r="C101" s="21">
        <v>1.2</v>
      </c>
      <c r="D101" s="18" t="s">
        <v>371</v>
      </c>
    </row>
    <row r="102" spans="1:9" ht="18" x14ac:dyDescent="0.45">
      <c r="A102" s="3" t="s">
        <v>132</v>
      </c>
      <c r="B102" s="8">
        <v>1474</v>
      </c>
      <c r="C102" s="21">
        <v>1.2</v>
      </c>
      <c r="D102" s="18" t="s">
        <v>371</v>
      </c>
    </row>
    <row r="104" spans="1:9" ht="22.05" customHeight="1" x14ac:dyDescent="0.5">
      <c r="A104" s="14" t="s">
        <v>415</v>
      </c>
    </row>
    <row r="105" spans="1:9" ht="30" customHeight="1" x14ac:dyDescent="0.2">
      <c r="A105" s="4" t="s">
        <v>52</v>
      </c>
      <c r="B105" s="4" t="s">
        <v>377</v>
      </c>
      <c r="C105" s="4" t="s">
        <v>68</v>
      </c>
      <c r="D105" s="4" t="s">
        <v>69</v>
      </c>
      <c r="E105" s="4" t="s">
        <v>53</v>
      </c>
    </row>
    <row r="106" spans="1:9" ht="18" x14ac:dyDescent="0.45">
      <c r="A106" s="3" t="s">
        <v>413</v>
      </c>
      <c r="B106" s="8">
        <v>1474</v>
      </c>
      <c r="C106" s="8">
        <v>866</v>
      </c>
      <c r="D106" s="8">
        <v>608</v>
      </c>
      <c r="E106" s="18" t="s">
        <v>416</v>
      </c>
    </row>
    <row r="108" spans="1:9" ht="22.05" customHeight="1" x14ac:dyDescent="0.5">
      <c r="A108" s="14" t="s">
        <v>147</v>
      </c>
    </row>
    <row r="109" spans="1:9" ht="48" customHeight="1" x14ac:dyDescent="0.2">
      <c r="A109" s="35" t="s">
        <v>417</v>
      </c>
      <c r="B109" s="34"/>
      <c r="C109" s="34"/>
      <c r="D109" s="34"/>
      <c r="E109" s="34"/>
      <c r="F109" s="34"/>
      <c r="G109" s="34"/>
      <c r="H109" s="34"/>
      <c r="I109" s="34"/>
    </row>
    <row r="110" spans="1:9" ht="31.95" customHeight="1" x14ac:dyDescent="0.2">
      <c r="A110" s="35" t="s">
        <v>418</v>
      </c>
      <c r="B110" s="34"/>
      <c r="C110" s="34"/>
      <c r="D110" s="34"/>
      <c r="E110" s="34"/>
      <c r="F110" s="34"/>
      <c r="G110" s="34"/>
      <c r="H110" s="34"/>
      <c r="I110" s="34"/>
    </row>
    <row r="111" spans="1:9" ht="31.95" customHeight="1" x14ac:dyDescent="0.2">
      <c r="A111" s="35" t="s">
        <v>419</v>
      </c>
      <c r="B111" s="34"/>
      <c r="C111" s="34"/>
      <c r="D111" s="34"/>
      <c r="E111" s="34"/>
      <c r="F111" s="34"/>
      <c r="G111" s="34"/>
      <c r="H111" s="34"/>
      <c r="I111" s="34"/>
    </row>
    <row r="112" spans="1:9" ht="31.95" customHeight="1" x14ac:dyDescent="0.2">
      <c r="A112" s="35" t="s">
        <v>420</v>
      </c>
      <c r="B112" s="34"/>
      <c r="C112" s="34"/>
      <c r="D112" s="34"/>
      <c r="E112" s="34"/>
      <c r="F112" s="34"/>
      <c r="G112" s="34"/>
      <c r="H112" s="34"/>
      <c r="I112" s="34"/>
    </row>
    <row r="113" spans="1:9" ht="31.95" customHeight="1" x14ac:dyDescent="0.2">
      <c r="A113" s="35" t="s">
        <v>421</v>
      </c>
      <c r="B113" s="34"/>
      <c r="C113" s="34"/>
      <c r="D113" s="34"/>
      <c r="E113" s="34"/>
      <c r="F113" s="34"/>
      <c r="G113" s="34"/>
      <c r="H113" s="34"/>
      <c r="I113" s="34"/>
    </row>
    <row r="115" spans="1:9" ht="22.05" customHeight="1" x14ac:dyDescent="0.5">
      <c r="A115" s="14" t="s">
        <v>153</v>
      </c>
    </row>
    <row r="116" spans="1:9" ht="48" customHeight="1" x14ac:dyDescent="0.2">
      <c r="A116" s="35" t="s">
        <v>422</v>
      </c>
      <c r="B116" s="34"/>
      <c r="C116" s="34"/>
      <c r="D116" s="34"/>
      <c r="E116" s="34"/>
      <c r="F116" s="34"/>
      <c r="G116" s="34"/>
      <c r="H116" s="34"/>
      <c r="I116" s="34"/>
    </row>
    <row r="117" spans="1:9" ht="31.95" customHeight="1" x14ac:dyDescent="0.2">
      <c r="A117" s="35" t="s">
        <v>423</v>
      </c>
      <c r="B117" s="34"/>
      <c r="C117" s="34"/>
      <c r="D117" s="34"/>
      <c r="E117" s="34"/>
      <c r="F117" s="34"/>
      <c r="G117" s="34"/>
      <c r="H117" s="34"/>
      <c r="I117" s="34"/>
    </row>
    <row r="118" spans="1:9" ht="64.05" customHeight="1" x14ac:dyDescent="0.2">
      <c r="A118" s="35" t="s">
        <v>424</v>
      </c>
      <c r="B118" s="34"/>
      <c r="C118" s="34"/>
      <c r="D118" s="34"/>
      <c r="E118" s="34"/>
      <c r="F118" s="34"/>
      <c r="G118" s="34"/>
      <c r="H118" s="34"/>
      <c r="I118" s="34"/>
    </row>
    <row r="119" spans="1:9" ht="31.95" customHeight="1" x14ac:dyDescent="0.2">
      <c r="A119" s="35" t="s">
        <v>425</v>
      </c>
      <c r="B119" s="34"/>
      <c r="C119" s="34"/>
      <c r="D119" s="34"/>
      <c r="E119" s="34"/>
      <c r="F119" s="34"/>
      <c r="G119" s="34"/>
      <c r="H119" s="34"/>
      <c r="I119" s="34"/>
    </row>
    <row r="121" spans="1:9" ht="22.05" customHeight="1" x14ac:dyDescent="0.5">
      <c r="A121" s="14" t="s">
        <v>158</v>
      </c>
    </row>
    <row r="122" spans="1:9" ht="18" customHeight="1" x14ac:dyDescent="0.2">
      <c r="A122" s="35" t="s">
        <v>426</v>
      </c>
      <c r="B122" s="34"/>
      <c r="C122" s="34"/>
      <c r="D122" s="34"/>
      <c r="E122" s="34"/>
      <c r="F122" s="34"/>
      <c r="G122" s="34"/>
      <c r="H122" s="34"/>
      <c r="I122" s="34"/>
    </row>
    <row r="123" spans="1:9" ht="31.95" customHeight="1" x14ac:dyDescent="0.2">
      <c r="A123" s="35" t="s">
        <v>427</v>
      </c>
      <c r="B123" s="34"/>
      <c r="C123" s="34"/>
      <c r="D123" s="34"/>
      <c r="E123" s="34"/>
      <c r="F123" s="34"/>
      <c r="G123" s="34"/>
      <c r="H123" s="34"/>
      <c r="I123" s="34"/>
    </row>
    <row r="124" spans="1:9" ht="18" customHeight="1" x14ac:dyDescent="0.2">
      <c r="A124" s="35" t="s">
        <v>428</v>
      </c>
      <c r="B124" s="34"/>
      <c r="C124" s="34"/>
      <c r="D124" s="34"/>
      <c r="E124" s="34"/>
      <c r="F124" s="34"/>
      <c r="G124" s="34"/>
      <c r="H124" s="34"/>
      <c r="I124" s="34"/>
    </row>
    <row r="125" spans="1:9" ht="18" customHeight="1" x14ac:dyDescent="0.2">
      <c r="A125" s="35" t="s">
        <v>429</v>
      </c>
      <c r="B125" s="34"/>
      <c r="C125" s="34"/>
      <c r="D125" s="34"/>
      <c r="E125" s="34"/>
      <c r="F125" s="34"/>
      <c r="G125" s="34"/>
      <c r="H125" s="34"/>
      <c r="I125" s="34"/>
    </row>
    <row r="126" spans="1:9" ht="18" customHeight="1" x14ac:dyDescent="0.2">
      <c r="A126" s="35" t="s">
        <v>430</v>
      </c>
      <c r="B126" s="34"/>
      <c r="C126" s="34"/>
      <c r="D126" s="34"/>
      <c r="E126" s="34"/>
      <c r="F126" s="34"/>
      <c r="G126" s="34"/>
      <c r="H126" s="34"/>
      <c r="I126" s="34"/>
    </row>
  </sheetData>
  <mergeCells count="18">
    <mergeCell ref="A126:I126"/>
    <mergeCell ref="A124:I124"/>
    <mergeCell ref="A119:I119"/>
    <mergeCell ref="A22:I22"/>
    <mergeCell ref="A109:I109"/>
    <mergeCell ref="A122:I122"/>
    <mergeCell ref="A123:I123"/>
    <mergeCell ref="A116:I116"/>
    <mergeCell ref="A118:I118"/>
    <mergeCell ref="A125:I125"/>
    <mergeCell ref="A110:I110"/>
    <mergeCell ref="A112:I112"/>
    <mergeCell ref="A113:I113"/>
    <mergeCell ref="A2:I2"/>
    <mergeCell ref="A117:I117"/>
    <mergeCell ref="A111:I111"/>
    <mergeCell ref="A21:I21"/>
    <mergeCell ref="A16:I16"/>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44"/>
  <sheetViews>
    <sheetView showGridLines="0" workbookViewId="0"/>
  </sheetViews>
  <sheetFormatPr defaultRowHeight="13.2" x14ac:dyDescent="0.2"/>
  <cols>
    <col min="1" max="1" width="16" customWidth="1"/>
    <col min="2" max="2" width="110" customWidth="1"/>
  </cols>
  <sheetData>
    <row r="1" spans="1:2" ht="24.6" x14ac:dyDescent="0.6">
      <c r="A1" s="1" t="s">
        <v>431</v>
      </c>
    </row>
    <row r="3" spans="1:2" ht="19.8" x14ac:dyDescent="0.5">
      <c r="A3" s="14" t="s">
        <v>432</v>
      </c>
    </row>
    <row r="4" spans="1:2" ht="31.95" customHeight="1" x14ac:dyDescent="0.2">
      <c r="A4" s="31">
        <v>1</v>
      </c>
      <c r="B4" s="22" t="s">
        <v>433</v>
      </c>
    </row>
    <row r="5" spans="1:2" ht="31.95" customHeight="1" x14ac:dyDescent="0.2">
      <c r="A5" s="31">
        <v>2</v>
      </c>
      <c r="B5" s="22" t="s">
        <v>434</v>
      </c>
    </row>
    <row r="6" spans="1:2" ht="18" customHeight="1" x14ac:dyDescent="0.2">
      <c r="A6" s="31">
        <v>3</v>
      </c>
      <c r="B6" s="22" t="s">
        <v>435</v>
      </c>
    </row>
    <row r="7" spans="1:2" ht="31.95" customHeight="1" x14ac:dyDescent="0.2">
      <c r="A7" s="31">
        <v>4</v>
      </c>
      <c r="B7" s="22" t="s">
        <v>436</v>
      </c>
    </row>
    <row r="8" spans="1:2" ht="48" customHeight="1" x14ac:dyDescent="0.2">
      <c r="A8" s="31">
        <v>5</v>
      </c>
      <c r="B8" s="22" t="s">
        <v>437</v>
      </c>
    </row>
    <row r="9" spans="1:2" ht="18" customHeight="1" x14ac:dyDescent="0.2">
      <c r="A9" s="31">
        <v>6</v>
      </c>
      <c r="B9" s="22" t="s">
        <v>438</v>
      </c>
    </row>
    <row r="11" spans="1:2" ht="19.8" x14ac:dyDescent="0.5">
      <c r="A11" s="14" t="s">
        <v>33</v>
      </c>
    </row>
    <row r="12" spans="1:2" ht="18" customHeight="1" x14ac:dyDescent="0.2">
      <c r="A12" s="31">
        <v>1</v>
      </c>
      <c r="B12" s="22" t="s">
        <v>439</v>
      </c>
    </row>
    <row r="13" spans="1:2" ht="18" customHeight="1" x14ac:dyDescent="0.2">
      <c r="A13" s="31">
        <v>2</v>
      </c>
      <c r="B13" s="22" t="s">
        <v>440</v>
      </c>
    </row>
    <row r="14" spans="1:2" ht="18" customHeight="1" x14ac:dyDescent="0.2">
      <c r="A14" s="31">
        <v>3</v>
      </c>
      <c r="B14" s="22" t="s">
        <v>441</v>
      </c>
    </row>
    <row r="15" spans="1:2" ht="18" customHeight="1" x14ac:dyDescent="0.2">
      <c r="A15" s="31">
        <v>4</v>
      </c>
      <c r="B15" s="22" t="s">
        <v>442</v>
      </c>
    </row>
    <row r="16" spans="1:2" ht="31.95" customHeight="1" x14ac:dyDescent="0.2">
      <c r="A16" s="31">
        <v>5</v>
      </c>
      <c r="B16" s="22" t="s">
        <v>443</v>
      </c>
    </row>
    <row r="17" spans="1:2" ht="18" customHeight="1" x14ac:dyDescent="0.2">
      <c r="A17" s="31">
        <v>6</v>
      </c>
      <c r="B17" s="22" t="s">
        <v>444</v>
      </c>
    </row>
    <row r="19" spans="1:2" ht="19.8" x14ac:dyDescent="0.5">
      <c r="A19" s="14" t="s">
        <v>445</v>
      </c>
    </row>
    <row r="20" spans="1:2" ht="31.95" customHeight="1" x14ac:dyDescent="0.2">
      <c r="A20" s="31">
        <v>1</v>
      </c>
      <c r="B20" s="22" t="s">
        <v>446</v>
      </c>
    </row>
    <row r="21" spans="1:2" ht="31.95" customHeight="1" x14ac:dyDescent="0.2">
      <c r="A21" s="31">
        <v>2</v>
      </c>
      <c r="B21" s="22" t="s">
        <v>447</v>
      </c>
    </row>
    <row r="22" spans="1:2" ht="18" customHeight="1" x14ac:dyDescent="0.2">
      <c r="A22" s="31">
        <v>3</v>
      </c>
      <c r="B22" s="22" t="s">
        <v>448</v>
      </c>
    </row>
    <row r="23" spans="1:2" ht="31.95" customHeight="1" x14ac:dyDescent="0.2">
      <c r="A23" s="31">
        <v>4</v>
      </c>
      <c r="B23" s="22" t="s">
        <v>449</v>
      </c>
    </row>
    <row r="24" spans="1:2" ht="18" customHeight="1" x14ac:dyDescent="0.2">
      <c r="A24" s="31">
        <v>5</v>
      </c>
      <c r="B24" s="22" t="s">
        <v>450</v>
      </c>
    </row>
    <row r="25" spans="1:2" ht="31.95" customHeight="1" x14ac:dyDescent="0.2">
      <c r="A25" s="31">
        <v>6</v>
      </c>
      <c r="B25" s="22" t="s">
        <v>451</v>
      </c>
    </row>
    <row r="27" spans="1:2" ht="19.8" x14ac:dyDescent="0.5">
      <c r="A27" s="14" t="s">
        <v>36</v>
      </c>
    </row>
    <row r="28" spans="1:2" ht="18" customHeight="1" x14ac:dyDescent="0.2">
      <c r="A28" s="31">
        <v>1</v>
      </c>
      <c r="B28" s="22" t="s">
        <v>452</v>
      </c>
    </row>
    <row r="29" spans="1:2" ht="18" customHeight="1" x14ac:dyDescent="0.2">
      <c r="A29" s="31">
        <v>2</v>
      </c>
      <c r="B29" s="22" t="s">
        <v>453</v>
      </c>
    </row>
    <row r="30" spans="1:2" ht="18" customHeight="1" x14ac:dyDescent="0.2">
      <c r="A30" s="31">
        <v>3</v>
      </c>
      <c r="B30" s="22" t="s">
        <v>454</v>
      </c>
    </row>
    <row r="31" spans="1:2" ht="18" customHeight="1" x14ac:dyDescent="0.2">
      <c r="A31" s="31">
        <v>4</v>
      </c>
      <c r="B31" s="22" t="s">
        <v>455</v>
      </c>
    </row>
    <row r="33" spans="1:2" ht="19.8" x14ac:dyDescent="0.5">
      <c r="A33" s="14" t="s">
        <v>456</v>
      </c>
    </row>
    <row r="34" spans="1:2" ht="18" customHeight="1" x14ac:dyDescent="0.2">
      <c r="A34" s="31">
        <v>1</v>
      </c>
      <c r="B34" s="22" t="s">
        <v>457</v>
      </c>
    </row>
    <row r="35" spans="1:2" ht="18" customHeight="1" x14ac:dyDescent="0.2">
      <c r="A35" s="31">
        <v>2</v>
      </c>
      <c r="B35" s="22" t="s">
        <v>458</v>
      </c>
    </row>
    <row r="36" spans="1:2" ht="18" customHeight="1" x14ac:dyDescent="0.2">
      <c r="A36" s="31">
        <v>3</v>
      </c>
      <c r="B36" s="22" t="s">
        <v>459</v>
      </c>
    </row>
    <row r="37" spans="1:2" ht="18" customHeight="1" x14ac:dyDescent="0.2">
      <c r="A37" s="31">
        <v>4</v>
      </c>
      <c r="B37" s="22" t="s">
        <v>460</v>
      </c>
    </row>
    <row r="39" spans="1:2" ht="19.8" x14ac:dyDescent="0.5">
      <c r="A39" s="14" t="s">
        <v>39</v>
      </c>
    </row>
    <row r="40" spans="1:2" ht="18" customHeight="1" x14ac:dyDescent="0.2">
      <c r="A40" s="31">
        <v>1</v>
      </c>
      <c r="B40" s="22" t="s">
        <v>461</v>
      </c>
    </row>
    <row r="41" spans="1:2" ht="31.95" customHeight="1" x14ac:dyDescent="0.2">
      <c r="A41" s="31">
        <v>2</v>
      </c>
      <c r="B41" s="22" t="s">
        <v>462</v>
      </c>
    </row>
    <row r="42" spans="1:2" ht="18" customHeight="1" x14ac:dyDescent="0.2">
      <c r="A42" s="31">
        <v>3</v>
      </c>
      <c r="B42" s="22" t="s">
        <v>463</v>
      </c>
    </row>
    <row r="43" spans="1:2" ht="18" customHeight="1" x14ac:dyDescent="0.2">
      <c r="A43" s="31">
        <v>4</v>
      </c>
      <c r="B43" s="22" t="s">
        <v>464</v>
      </c>
    </row>
    <row r="44" spans="1:2" ht="18" customHeight="1" x14ac:dyDescent="0.2">
      <c r="A44" s="31">
        <v>5</v>
      </c>
      <c r="B44" s="22" t="s">
        <v>465</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74"/>
  <sheetViews>
    <sheetView showGridLines="0" workbookViewId="0">
      <pane ySplit="4" topLeftCell="A5" activePane="bottomLeft" state="frozen"/>
      <selection pane="bottomLeft"/>
    </sheetView>
  </sheetViews>
  <sheetFormatPr defaultRowHeight="13.2" x14ac:dyDescent="0.2"/>
  <cols>
    <col min="1" max="1" width="10" customWidth="1"/>
    <col min="2" max="2" width="11" customWidth="1"/>
    <col min="3" max="3" width="60" customWidth="1"/>
    <col min="4" max="4" width="30" customWidth="1"/>
    <col min="5" max="5" width="55" customWidth="1"/>
    <col min="6" max="6" width="22" customWidth="1"/>
    <col min="7" max="7" width="12" customWidth="1"/>
  </cols>
  <sheetData>
    <row r="1" spans="1:7" ht="24.6" x14ac:dyDescent="0.6">
      <c r="A1" s="1" t="s">
        <v>466</v>
      </c>
    </row>
    <row r="2" spans="1:7" ht="18" customHeight="1" x14ac:dyDescent="0.2">
      <c r="A2" s="33" t="s">
        <v>467</v>
      </c>
      <c r="B2" s="34"/>
      <c r="C2" s="34"/>
      <c r="D2" s="34"/>
      <c r="E2" s="34"/>
      <c r="F2" s="34"/>
      <c r="G2" s="34"/>
    </row>
    <row r="4" spans="1:7" ht="30" customHeight="1" x14ac:dyDescent="0.2">
      <c r="A4" s="4" t="s">
        <v>53</v>
      </c>
      <c r="B4" s="4" t="s">
        <v>19</v>
      </c>
      <c r="C4" s="4" t="s">
        <v>468</v>
      </c>
      <c r="D4" s="4" t="s">
        <v>469</v>
      </c>
      <c r="E4" s="4" t="s">
        <v>470</v>
      </c>
      <c r="F4" s="4" t="s">
        <v>471</v>
      </c>
      <c r="G4" s="4" t="s">
        <v>472</v>
      </c>
    </row>
    <row r="5" spans="1:7" ht="30" customHeight="1" x14ac:dyDescent="0.45">
      <c r="A5" s="18" t="s">
        <v>473</v>
      </c>
      <c r="B5" s="18" t="s">
        <v>33</v>
      </c>
      <c r="C5" s="3" t="s">
        <v>474</v>
      </c>
      <c r="D5" s="3" t="s">
        <v>475</v>
      </c>
      <c r="E5" s="32" t="s">
        <v>476</v>
      </c>
      <c r="F5" s="3" t="s">
        <v>477</v>
      </c>
      <c r="G5" s="18" t="s">
        <v>478</v>
      </c>
    </row>
    <row r="6" spans="1:7" ht="30" customHeight="1" x14ac:dyDescent="0.45">
      <c r="A6" s="18" t="s">
        <v>103</v>
      </c>
      <c r="B6" s="18" t="s">
        <v>33</v>
      </c>
      <c r="C6" s="3" t="s">
        <v>479</v>
      </c>
      <c r="D6" s="3" t="s">
        <v>475</v>
      </c>
      <c r="E6" s="32" t="s">
        <v>480</v>
      </c>
      <c r="F6" s="3" t="s">
        <v>477</v>
      </c>
      <c r="G6" s="18" t="s">
        <v>478</v>
      </c>
    </row>
    <row r="7" spans="1:7" ht="30" customHeight="1" x14ac:dyDescent="0.45">
      <c r="A7" s="18" t="s">
        <v>70</v>
      </c>
      <c r="B7" s="18" t="s">
        <v>33</v>
      </c>
      <c r="C7" s="3" t="s">
        <v>481</v>
      </c>
      <c r="D7" s="3" t="s">
        <v>475</v>
      </c>
      <c r="E7" s="32" t="s">
        <v>482</v>
      </c>
      <c r="F7" s="3" t="s">
        <v>477</v>
      </c>
      <c r="G7" s="18" t="s">
        <v>478</v>
      </c>
    </row>
    <row r="8" spans="1:7" ht="30" customHeight="1" x14ac:dyDescent="0.45">
      <c r="A8" s="18" t="s">
        <v>55</v>
      </c>
      <c r="B8" s="18" t="s">
        <v>33</v>
      </c>
      <c r="C8" s="3" t="s">
        <v>483</v>
      </c>
      <c r="D8" s="3" t="s">
        <v>475</v>
      </c>
      <c r="E8" s="32" t="s">
        <v>484</v>
      </c>
      <c r="F8" s="3" t="s">
        <v>477</v>
      </c>
      <c r="G8" s="18" t="s">
        <v>478</v>
      </c>
    </row>
    <row r="9" spans="1:7" ht="30" customHeight="1" x14ac:dyDescent="0.45">
      <c r="A9" s="18" t="s">
        <v>74</v>
      </c>
      <c r="B9" s="18" t="s">
        <v>33</v>
      </c>
      <c r="C9" s="3" t="s">
        <v>485</v>
      </c>
      <c r="D9" s="3" t="s">
        <v>475</v>
      </c>
      <c r="E9" s="32" t="s">
        <v>486</v>
      </c>
      <c r="F9" s="3" t="s">
        <v>477</v>
      </c>
      <c r="G9" s="18" t="s">
        <v>478</v>
      </c>
    </row>
    <row r="10" spans="1:7" ht="30" customHeight="1" x14ac:dyDescent="0.45">
      <c r="A10" s="18" t="s">
        <v>94</v>
      </c>
      <c r="B10" s="18" t="s">
        <v>33</v>
      </c>
      <c r="C10" s="3" t="s">
        <v>487</v>
      </c>
      <c r="D10" s="3" t="s">
        <v>475</v>
      </c>
      <c r="E10" s="32" t="s">
        <v>488</v>
      </c>
      <c r="F10" s="3" t="s">
        <v>477</v>
      </c>
      <c r="G10" s="18" t="s">
        <v>478</v>
      </c>
    </row>
    <row r="11" spans="1:7" ht="30" customHeight="1" x14ac:dyDescent="0.45">
      <c r="A11" s="18" t="s">
        <v>489</v>
      </c>
      <c r="B11" s="18" t="s">
        <v>33</v>
      </c>
      <c r="C11" s="3" t="s">
        <v>490</v>
      </c>
      <c r="D11" s="3" t="s">
        <v>475</v>
      </c>
      <c r="E11" s="32" t="s">
        <v>491</v>
      </c>
      <c r="F11" s="3" t="s">
        <v>477</v>
      </c>
      <c r="G11" s="18" t="s">
        <v>478</v>
      </c>
    </row>
    <row r="12" spans="1:7" ht="30" customHeight="1" x14ac:dyDescent="0.45">
      <c r="A12" s="18" t="s">
        <v>492</v>
      </c>
      <c r="B12" s="18" t="s">
        <v>33</v>
      </c>
      <c r="C12" s="3" t="s">
        <v>493</v>
      </c>
      <c r="D12" s="3" t="s">
        <v>475</v>
      </c>
      <c r="E12" s="32" t="s">
        <v>494</v>
      </c>
      <c r="F12" s="3" t="s">
        <v>477</v>
      </c>
      <c r="G12" s="18" t="s">
        <v>478</v>
      </c>
    </row>
    <row r="13" spans="1:7" ht="30" customHeight="1" x14ac:dyDescent="0.45">
      <c r="A13" s="18" t="s">
        <v>495</v>
      </c>
      <c r="B13" s="18" t="s">
        <v>33</v>
      </c>
      <c r="C13" s="3" t="s">
        <v>496</v>
      </c>
      <c r="D13" s="3" t="s">
        <v>475</v>
      </c>
      <c r="E13" s="32" t="s">
        <v>497</v>
      </c>
      <c r="F13" s="3" t="s">
        <v>477</v>
      </c>
      <c r="G13" s="18" t="s">
        <v>478</v>
      </c>
    </row>
    <row r="14" spans="1:7" ht="30" customHeight="1" x14ac:dyDescent="0.45">
      <c r="A14" s="18" t="s">
        <v>64</v>
      </c>
      <c r="B14" s="18" t="s">
        <v>33</v>
      </c>
      <c r="C14" s="3" t="s">
        <v>498</v>
      </c>
      <c r="D14" s="3" t="s">
        <v>475</v>
      </c>
      <c r="E14" s="32" t="s">
        <v>499</v>
      </c>
      <c r="F14" s="3" t="s">
        <v>477</v>
      </c>
      <c r="G14" s="18" t="s">
        <v>478</v>
      </c>
    </row>
    <row r="15" spans="1:7" ht="30" customHeight="1" x14ac:dyDescent="0.45">
      <c r="A15" s="18" t="s">
        <v>500</v>
      </c>
      <c r="B15" s="18" t="s">
        <v>33</v>
      </c>
      <c r="C15" s="3" t="s">
        <v>501</v>
      </c>
      <c r="D15" s="3" t="s">
        <v>475</v>
      </c>
      <c r="E15" s="32" t="s">
        <v>502</v>
      </c>
      <c r="F15" s="3" t="s">
        <v>477</v>
      </c>
      <c r="G15" s="18" t="s">
        <v>478</v>
      </c>
    </row>
    <row r="16" spans="1:7" ht="30" customHeight="1" x14ac:dyDescent="0.45">
      <c r="A16" s="18" t="s">
        <v>503</v>
      </c>
      <c r="B16" s="18" t="s">
        <v>33</v>
      </c>
      <c r="C16" s="3" t="s">
        <v>504</v>
      </c>
      <c r="D16" s="3" t="s">
        <v>475</v>
      </c>
      <c r="E16" s="32" t="s">
        <v>505</v>
      </c>
      <c r="F16" s="3" t="s">
        <v>506</v>
      </c>
      <c r="G16" s="18" t="s">
        <v>478</v>
      </c>
    </row>
    <row r="17" spans="1:7" ht="30" customHeight="1" x14ac:dyDescent="0.45">
      <c r="A17" s="18" t="s">
        <v>507</v>
      </c>
      <c r="B17" s="18" t="s">
        <v>33</v>
      </c>
      <c r="C17" s="3" t="s">
        <v>508</v>
      </c>
      <c r="D17" s="3" t="s">
        <v>475</v>
      </c>
      <c r="E17" s="32" t="s">
        <v>509</v>
      </c>
      <c r="F17" s="3" t="s">
        <v>510</v>
      </c>
      <c r="G17" s="18" t="s">
        <v>478</v>
      </c>
    </row>
    <row r="18" spans="1:7" ht="45" customHeight="1" x14ac:dyDescent="0.45">
      <c r="A18" s="18" t="s">
        <v>511</v>
      </c>
      <c r="B18" s="18" t="s">
        <v>33</v>
      </c>
      <c r="C18" s="3" t="s">
        <v>512</v>
      </c>
      <c r="D18" s="3" t="s">
        <v>513</v>
      </c>
      <c r="E18" s="32" t="s">
        <v>514</v>
      </c>
      <c r="F18" s="3" t="s">
        <v>515</v>
      </c>
      <c r="G18" s="18" t="s">
        <v>478</v>
      </c>
    </row>
    <row r="19" spans="1:7" ht="30" customHeight="1" x14ac:dyDescent="0.45">
      <c r="A19" s="18" t="s">
        <v>516</v>
      </c>
      <c r="B19" s="18" t="s">
        <v>33</v>
      </c>
      <c r="C19" s="3" t="s">
        <v>517</v>
      </c>
      <c r="D19" s="3" t="s">
        <v>513</v>
      </c>
      <c r="E19" s="32" t="s">
        <v>518</v>
      </c>
      <c r="F19" s="3" t="s">
        <v>515</v>
      </c>
      <c r="G19" s="18" t="s">
        <v>478</v>
      </c>
    </row>
    <row r="20" spans="1:7" ht="30" customHeight="1" x14ac:dyDescent="0.45">
      <c r="A20" s="18" t="s">
        <v>519</v>
      </c>
      <c r="B20" s="18" t="s">
        <v>33</v>
      </c>
      <c r="C20" s="3" t="s">
        <v>520</v>
      </c>
      <c r="D20" s="3" t="s">
        <v>521</v>
      </c>
      <c r="E20" s="32" t="s">
        <v>522</v>
      </c>
      <c r="F20" s="3" t="s">
        <v>523</v>
      </c>
      <c r="G20" s="18" t="s">
        <v>478</v>
      </c>
    </row>
    <row r="21" spans="1:7" ht="30" customHeight="1" x14ac:dyDescent="0.45">
      <c r="A21" s="18" t="s">
        <v>524</v>
      </c>
      <c r="B21" s="18" t="s">
        <v>33</v>
      </c>
      <c r="C21" s="3" t="s">
        <v>525</v>
      </c>
      <c r="D21" s="3" t="s">
        <v>526</v>
      </c>
      <c r="E21" s="32" t="s">
        <v>527</v>
      </c>
      <c r="F21" s="3" t="s">
        <v>515</v>
      </c>
      <c r="G21" s="18" t="s">
        <v>478</v>
      </c>
    </row>
    <row r="22" spans="1:7" ht="30" customHeight="1" x14ac:dyDescent="0.45">
      <c r="A22" s="18" t="s">
        <v>528</v>
      </c>
      <c r="B22" s="18" t="s">
        <v>33</v>
      </c>
      <c r="C22" s="3" t="s">
        <v>529</v>
      </c>
      <c r="D22" s="3" t="s">
        <v>475</v>
      </c>
      <c r="E22" s="32" t="s">
        <v>530</v>
      </c>
      <c r="F22" s="3" t="s">
        <v>477</v>
      </c>
      <c r="G22" s="18" t="s">
        <v>478</v>
      </c>
    </row>
    <row r="23" spans="1:7" ht="45" customHeight="1" x14ac:dyDescent="0.45">
      <c r="A23" s="18" t="s">
        <v>244</v>
      </c>
      <c r="B23" s="18" t="s">
        <v>36</v>
      </c>
      <c r="C23" s="3" t="s">
        <v>531</v>
      </c>
      <c r="D23" s="3" t="s">
        <v>513</v>
      </c>
      <c r="E23" s="32" t="s">
        <v>532</v>
      </c>
      <c r="F23" s="3" t="s">
        <v>533</v>
      </c>
      <c r="G23" s="18" t="s">
        <v>478</v>
      </c>
    </row>
    <row r="24" spans="1:7" ht="30" customHeight="1" x14ac:dyDescent="0.45">
      <c r="A24" s="18" t="s">
        <v>264</v>
      </c>
      <c r="B24" s="18" t="s">
        <v>36</v>
      </c>
      <c r="C24" s="3" t="s">
        <v>534</v>
      </c>
      <c r="D24" s="3" t="s">
        <v>535</v>
      </c>
      <c r="E24" s="32" t="s">
        <v>536</v>
      </c>
      <c r="F24" s="3" t="s">
        <v>537</v>
      </c>
      <c r="G24" s="18" t="s">
        <v>478</v>
      </c>
    </row>
    <row r="25" spans="1:7" ht="30" customHeight="1" x14ac:dyDescent="0.45">
      <c r="A25" s="18" t="s">
        <v>250</v>
      </c>
      <c r="B25" s="18" t="s">
        <v>36</v>
      </c>
      <c r="C25" s="3" t="s">
        <v>538</v>
      </c>
      <c r="D25" s="3" t="s">
        <v>539</v>
      </c>
      <c r="E25" s="32" t="s">
        <v>540</v>
      </c>
      <c r="F25" s="3" t="s">
        <v>541</v>
      </c>
      <c r="G25" s="18" t="s">
        <v>478</v>
      </c>
    </row>
    <row r="26" spans="1:7" ht="30" customHeight="1" x14ac:dyDescent="0.45">
      <c r="A26" s="18" t="s">
        <v>271</v>
      </c>
      <c r="B26" s="18" t="s">
        <v>36</v>
      </c>
      <c r="C26" s="3" t="s">
        <v>542</v>
      </c>
      <c r="D26" s="3" t="s">
        <v>539</v>
      </c>
      <c r="E26" s="32" t="s">
        <v>543</v>
      </c>
      <c r="F26" s="3" t="s">
        <v>541</v>
      </c>
      <c r="G26" s="18" t="s">
        <v>478</v>
      </c>
    </row>
    <row r="27" spans="1:7" ht="30" customHeight="1" x14ac:dyDescent="0.45">
      <c r="A27" s="18" t="s">
        <v>247</v>
      </c>
      <c r="B27" s="18" t="s">
        <v>36</v>
      </c>
      <c r="C27" s="3" t="s">
        <v>544</v>
      </c>
      <c r="D27" s="3" t="s">
        <v>545</v>
      </c>
      <c r="E27" s="32" t="s">
        <v>546</v>
      </c>
      <c r="F27" s="3" t="s">
        <v>547</v>
      </c>
      <c r="G27" s="18" t="s">
        <v>478</v>
      </c>
    </row>
    <row r="28" spans="1:7" ht="30" customHeight="1" x14ac:dyDescent="0.45">
      <c r="A28" s="18" t="s">
        <v>548</v>
      </c>
      <c r="B28" s="18" t="s">
        <v>36</v>
      </c>
      <c r="C28" s="3" t="s">
        <v>549</v>
      </c>
      <c r="D28" s="3" t="s">
        <v>545</v>
      </c>
      <c r="E28" s="32" t="s">
        <v>550</v>
      </c>
      <c r="F28" s="3" t="s">
        <v>551</v>
      </c>
      <c r="G28" s="18" t="s">
        <v>478</v>
      </c>
    </row>
    <row r="29" spans="1:7" ht="30" customHeight="1" x14ac:dyDescent="0.45">
      <c r="A29" s="18" t="s">
        <v>552</v>
      </c>
      <c r="B29" s="18" t="s">
        <v>36</v>
      </c>
      <c r="C29" s="3" t="s">
        <v>553</v>
      </c>
      <c r="D29" s="3" t="s">
        <v>545</v>
      </c>
      <c r="E29" s="32" t="s">
        <v>554</v>
      </c>
      <c r="F29" s="3" t="s">
        <v>555</v>
      </c>
      <c r="G29" s="18" t="s">
        <v>478</v>
      </c>
    </row>
    <row r="30" spans="1:7" ht="45" customHeight="1" x14ac:dyDescent="0.45">
      <c r="A30" s="18" t="s">
        <v>245</v>
      </c>
      <c r="B30" s="18" t="s">
        <v>36</v>
      </c>
      <c r="C30" s="3" t="s">
        <v>556</v>
      </c>
      <c r="D30" s="3" t="s">
        <v>513</v>
      </c>
      <c r="E30" s="32" t="s">
        <v>557</v>
      </c>
      <c r="F30" s="3" t="s">
        <v>558</v>
      </c>
      <c r="G30" s="18" t="s">
        <v>478</v>
      </c>
    </row>
    <row r="31" spans="1:7" ht="45" customHeight="1" x14ac:dyDescent="0.45">
      <c r="A31" s="18" t="s">
        <v>283</v>
      </c>
      <c r="B31" s="18" t="s">
        <v>36</v>
      </c>
      <c r="C31" s="3" t="s">
        <v>559</v>
      </c>
      <c r="D31" s="3" t="s">
        <v>535</v>
      </c>
      <c r="E31" s="32" t="s">
        <v>560</v>
      </c>
      <c r="F31" s="3" t="s">
        <v>561</v>
      </c>
      <c r="G31" s="18" t="s">
        <v>478</v>
      </c>
    </row>
    <row r="32" spans="1:7" ht="30" customHeight="1" x14ac:dyDescent="0.45">
      <c r="A32" s="18" t="s">
        <v>562</v>
      </c>
      <c r="B32" s="18" t="s">
        <v>36</v>
      </c>
      <c r="C32" s="3" t="s">
        <v>563</v>
      </c>
      <c r="D32" s="3" t="s">
        <v>513</v>
      </c>
      <c r="E32" s="32" t="s">
        <v>564</v>
      </c>
      <c r="F32" s="3" t="s">
        <v>565</v>
      </c>
      <c r="G32" s="18" t="s">
        <v>478</v>
      </c>
    </row>
    <row r="33" spans="1:7" ht="30" customHeight="1" x14ac:dyDescent="0.45">
      <c r="A33" s="18" t="s">
        <v>566</v>
      </c>
      <c r="B33" s="18" t="s">
        <v>36</v>
      </c>
      <c r="C33" s="3" t="s">
        <v>567</v>
      </c>
      <c r="D33" s="3" t="s">
        <v>513</v>
      </c>
      <c r="E33" s="32" t="s">
        <v>568</v>
      </c>
      <c r="F33" s="3" t="s">
        <v>569</v>
      </c>
      <c r="G33" s="18" t="s">
        <v>478</v>
      </c>
    </row>
    <row r="34" spans="1:7" ht="30" customHeight="1" x14ac:dyDescent="0.45">
      <c r="A34" s="18" t="s">
        <v>570</v>
      </c>
      <c r="B34" s="18" t="s">
        <v>36</v>
      </c>
      <c r="C34" s="3" t="s">
        <v>571</v>
      </c>
      <c r="D34" s="3" t="s">
        <v>545</v>
      </c>
      <c r="E34" s="32" t="s">
        <v>572</v>
      </c>
      <c r="F34" s="3" t="s">
        <v>573</v>
      </c>
      <c r="G34" s="18" t="s">
        <v>478</v>
      </c>
    </row>
    <row r="35" spans="1:7" ht="30" customHeight="1" x14ac:dyDescent="0.45">
      <c r="A35" s="18" t="s">
        <v>303</v>
      </c>
      <c r="B35" s="18" t="s">
        <v>456</v>
      </c>
      <c r="C35" s="3" t="s">
        <v>574</v>
      </c>
      <c r="D35" s="3" t="s">
        <v>575</v>
      </c>
      <c r="E35" s="32" t="s">
        <v>543</v>
      </c>
      <c r="F35" s="3" t="s">
        <v>541</v>
      </c>
      <c r="G35" s="18" t="s">
        <v>478</v>
      </c>
    </row>
    <row r="36" spans="1:7" ht="45" customHeight="1" x14ac:dyDescent="0.45">
      <c r="A36" s="18" t="s">
        <v>307</v>
      </c>
      <c r="B36" s="18" t="s">
        <v>456</v>
      </c>
      <c r="C36" s="3" t="s">
        <v>576</v>
      </c>
      <c r="D36" s="3" t="s">
        <v>577</v>
      </c>
      <c r="E36" s="32" t="s">
        <v>540</v>
      </c>
      <c r="F36" s="3" t="s">
        <v>541</v>
      </c>
      <c r="G36" s="18" t="s">
        <v>478</v>
      </c>
    </row>
    <row r="37" spans="1:7" ht="30" customHeight="1" x14ac:dyDescent="0.45">
      <c r="A37" s="18" t="s">
        <v>320</v>
      </c>
      <c r="B37" s="18" t="s">
        <v>456</v>
      </c>
      <c r="C37" s="3" t="s">
        <v>578</v>
      </c>
      <c r="D37" s="3" t="s">
        <v>577</v>
      </c>
      <c r="E37" s="32" t="s">
        <v>579</v>
      </c>
      <c r="F37" s="3" t="s">
        <v>541</v>
      </c>
      <c r="G37" s="18" t="s">
        <v>478</v>
      </c>
    </row>
    <row r="38" spans="1:7" ht="45" customHeight="1" x14ac:dyDescent="0.45">
      <c r="A38" s="18" t="s">
        <v>313</v>
      </c>
      <c r="B38" s="18" t="s">
        <v>456</v>
      </c>
      <c r="C38" s="3" t="s">
        <v>580</v>
      </c>
      <c r="D38" s="3" t="s">
        <v>577</v>
      </c>
      <c r="E38" s="32" t="s">
        <v>581</v>
      </c>
      <c r="F38" s="3" t="s">
        <v>582</v>
      </c>
      <c r="G38" s="18" t="s">
        <v>478</v>
      </c>
    </row>
    <row r="39" spans="1:7" ht="30" customHeight="1" x14ac:dyDescent="0.45">
      <c r="A39" s="18" t="s">
        <v>324</v>
      </c>
      <c r="B39" s="18" t="s">
        <v>456</v>
      </c>
      <c r="C39" s="3" t="s">
        <v>583</v>
      </c>
      <c r="D39" s="3" t="s">
        <v>575</v>
      </c>
      <c r="E39" s="32" t="s">
        <v>584</v>
      </c>
      <c r="F39" s="3" t="s">
        <v>585</v>
      </c>
      <c r="G39" s="18" t="s">
        <v>478</v>
      </c>
    </row>
    <row r="40" spans="1:7" ht="30" customHeight="1" x14ac:dyDescent="0.45">
      <c r="A40" s="18" t="s">
        <v>340</v>
      </c>
      <c r="B40" s="18" t="s">
        <v>456</v>
      </c>
      <c r="C40" s="3" t="s">
        <v>586</v>
      </c>
      <c r="D40" s="3" t="s">
        <v>575</v>
      </c>
      <c r="E40" s="32" t="s">
        <v>587</v>
      </c>
      <c r="F40" s="3" t="s">
        <v>588</v>
      </c>
      <c r="G40" s="18" t="s">
        <v>478</v>
      </c>
    </row>
    <row r="41" spans="1:7" ht="30" customHeight="1" x14ac:dyDescent="0.45">
      <c r="A41" s="18" t="s">
        <v>304</v>
      </c>
      <c r="B41" s="18" t="s">
        <v>456</v>
      </c>
      <c r="C41" s="3" t="s">
        <v>589</v>
      </c>
      <c r="D41" s="3" t="s">
        <v>575</v>
      </c>
      <c r="E41" s="32" t="s">
        <v>590</v>
      </c>
      <c r="F41" s="3" t="s">
        <v>591</v>
      </c>
      <c r="G41" s="18" t="s">
        <v>478</v>
      </c>
    </row>
    <row r="42" spans="1:7" ht="30" customHeight="1" x14ac:dyDescent="0.45">
      <c r="A42" s="18" t="s">
        <v>592</v>
      </c>
      <c r="B42" s="18" t="s">
        <v>456</v>
      </c>
      <c r="C42" s="3" t="s">
        <v>593</v>
      </c>
      <c r="D42" s="3" t="s">
        <v>575</v>
      </c>
      <c r="E42" s="32" t="s">
        <v>594</v>
      </c>
      <c r="F42" s="3" t="s">
        <v>595</v>
      </c>
      <c r="G42" s="18" t="s">
        <v>478</v>
      </c>
    </row>
    <row r="43" spans="1:7" ht="30" customHeight="1" x14ac:dyDescent="0.45">
      <c r="A43" s="18" t="s">
        <v>335</v>
      </c>
      <c r="B43" s="18" t="s">
        <v>456</v>
      </c>
      <c r="C43" s="3" t="s">
        <v>596</v>
      </c>
      <c r="D43" s="3" t="s">
        <v>575</v>
      </c>
      <c r="E43" s="32" t="s">
        <v>597</v>
      </c>
      <c r="F43" s="3" t="s">
        <v>598</v>
      </c>
      <c r="G43" s="18" t="s">
        <v>478</v>
      </c>
    </row>
    <row r="44" spans="1:7" ht="30" customHeight="1" x14ac:dyDescent="0.45">
      <c r="A44" s="18" t="s">
        <v>599</v>
      </c>
      <c r="B44" s="18" t="s">
        <v>456</v>
      </c>
      <c r="C44" s="3" t="s">
        <v>600</v>
      </c>
      <c r="D44" s="3" t="s">
        <v>575</v>
      </c>
      <c r="E44" s="32" t="s">
        <v>601</v>
      </c>
      <c r="F44" s="3" t="s">
        <v>602</v>
      </c>
      <c r="G44" s="18" t="s">
        <v>478</v>
      </c>
    </row>
    <row r="45" spans="1:7" ht="30" customHeight="1" x14ac:dyDescent="0.45">
      <c r="A45" s="18" t="s">
        <v>603</v>
      </c>
      <c r="B45" s="18" t="s">
        <v>456</v>
      </c>
      <c r="C45" s="3" t="s">
        <v>604</v>
      </c>
      <c r="D45" s="3" t="s">
        <v>575</v>
      </c>
      <c r="E45" s="32" t="s">
        <v>605</v>
      </c>
      <c r="F45" s="3" t="s">
        <v>606</v>
      </c>
      <c r="G45" s="18" t="s">
        <v>478</v>
      </c>
    </row>
    <row r="46" spans="1:7" ht="30" customHeight="1" x14ac:dyDescent="0.45">
      <c r="A46" s="18" t="s">
        <v>607</v>
      </c>
      <c r="B46" s="18" t="s">
        <v>456</v>
      </c>
      <c r="C46" s="3" t="s">
        <v>608</v>
      </c>
      <c r="D46" s="3" t="s">
        <v>513</v>
      </c>
      <c r="E46" s="32" t="s">
        <v>609</v>
      </c>
      <c r="F46" s="3" t="s">
        <v>610</v>
      </c>
      <c r="G46" s="18" t="s">
        <v>478</v>
      </c>
    </row>
    <row r="47" spans="1:7" ht="30" customHeight="1" x14ac:dyDescent="0.45">
      <c r="A47" s="18" t="s">
        <v>611</v>
      </c>
      <c r="B47" s="18" t="s">
        <v>456</v>
      </c>
      <c r="C47" s="3" t="s">
        <v>612</v>
      </c>
      <c r="D47" s="3" t="s">
        <v>575</v>
      </c>
      <c r="E47" s="32" t="s">
        <v>613</v>
      </c>
      <c r="F47" s="3" t="s">
        <v>614</v>
      </c>
      <c r="G47" s="18" t="s">
        <v>478</v>
      </c>
    </row>
    <row r="48" spans="1:7" ht="30" customHeight="1" x14ac:dyDescent="0.45">
      <c r="A48" s="18" t="s">
        <v>615</v>
      </c>
      <c r="B48" s="18" t="s">
        <v>456</v>
      </c>
      <c r="C48" s="3" t="s">
        <v>616</v>
      </c>
      <c r="D48" s="3" t="s">
        <v>513</v>
      </c>
      <c r="E48" s="32" t="s">
        <v>617</v>
      </c>
      <c r="F48" s="3" t="s">
        <v>618</v>
      </c>
      <c r="G48" s="18" t="s">
        <v>478</v>
      </c>
    </row>
    <row r="49" spans="1:7" ht="30" customHeight="1" x14ac:dyDescent="0.45">
      <c r="A49" s="18" t="s">
        <v>619</v>
      </c>
      <c r="B49" s="18" t="s">
        <v>456</v>
      </c>
      <c r="C49" s="3" t="s">
        <v>620</v>
      </c>
      <c r="D49" s="3" t="s">
        <v>513</v>
      </c>
      <c r="E49" s="32" t="s">
        <v>621</v>
      </c>
      <c r="F49" s="3" t="s">
        <v>622</v>
      </c>
      <c r="G49" s="18" t="s">
        <v>478</v>
      </c>
    </row>
    <row r="50" spans="1:7" ht="75" customHeight="1" x14ac:dyDescent="0.45">
      <c r="A50" s="18" t="s">
        <v>371</v>
      </c>
      <c r="B50" s="18" t="s">
        <v>39</v>
      </c>
      <c r="C50" s="3" t="s">
        <v>623</v>
      </c>
      <c r="D50" s="3" t="s">
        <v>513</v>
      </c>
      <c r="E50" s="32" t="s">
        <v>624</v>
      </c>
      <c r="F50" s="3" t="s">
        <v>625</v>
      </c>
      <c r="G50" s="18" t="s">
        <v>478</v>
      </c>
    </row>
    <row r="51" spans="1:7" ht="30" customHeight="1" x14ac:dyDescent="0.45">
      <c r="A51" s="18" t="s">
        <v>626</v>
      </c>
      <c r="B51" s="18" t="s">
        <v>39</v>
      </c>
      <c r="C51" s="3" t="s">
        <v>627</v>
      </c>
      <c r="D51" s="3" t="s">
        <v>513</v>
      </c>
      <c r="E51" s="32" t="s">
        <v>628</v>
      </c>
      <c r="F51" s="3" t="s">
        <v>515</v>
      </c>
      <c r="G51" s="18" t="s">
        <v>478</v>
      </c>
    </row>
    <row r="52" spans="1:7" ht="30" customHeight="1" x14ac:dyDescent="0.45">
      <c r="A52" s="18" t="s">
        <v>416</v>
      </c>
      <c r="B52" s="18" t="s">
        <v>39</v>
      </c>
      <c r="C52" s="3" t="s">
        <v>629</v>
      </c>
      <c r="D52" s="3" t="s">
        <v>513</v>
      </c>
      <c r="E52" s="32" t="s">
        <v>630</v>
      </c>
      <c r="F52" s="3" t="s">
        <v>631</v>
      </c>
      <c r="G52" s="18" t="s">
        <v>478</v>
      </c>
    </row>
    <row r="53" spans="1:7" ht="30" customHeight="1" x14ac:dyDescent="0.45">
      <c r="A53" s="18" t="s">
        <v>373</v>
      </c>
      <c r="B53" s="18" t="s">
        <v>39</v>
      </c>
      <c r="C53" s="3" t="s">
        <v>632</v>
      </c>
      <c r="D53" s="3" t="s">
        <v>539</v>
      </c>
      <c r="E53" s="32" t="s">
        <v>633</v>
      </c>
      <c r="F53" s="3" t="s">
        <v>634</v>
      </c>
      <c r="G53" s="18" t="s">
        <v>478</v>
      </c>
    </row>
    <row r="54" spans="1:7" ht="30" customHeight="1" x14ac:dyDescent="0.45">
      <c r="A54" s="18" t="s">
        <v>635</v>
      </c>
      <c r="B54" s="18" t="s">
        <v>39</v>
      </c>
      <c r="C54" s="3" t="s">
        <v>636</v>
      </c>
      <c r="D54" s="3" t="s">
        <v>539</v>
      </c>
      <c r="E54" s="32" t="s">
        <v>637</v>
      </c>
      <c r="F54" s="3" t="s">
        <v>638</v>
      </c>
      <c r="G54" s="18" t="s">
        <v>478</v>
      </c>
    </row>
    <row r="55" spans="1:7" ht="30" customHeight="1" x14ac:dyDescent="0.45">
      <c r="A55" s="18" t="s">
        <v>639</v>
      </c>
      <c r="B55" s="18" t="s">
        <v>39</v>
      </c>
      <c r="C55" s="3" t="s">
        <v>640</v>
      </c>
      <c r="D55" s="3" t="s">
        <v>641</v>
      </c>
      <c r="E55" s="32" t="s">
        <v>546</v>
      </c>
      <c r="F55" s="3" t="s">
        <v>642</v>
      </c>
      <c r="G55" s="18" t="s">
        <v>478</v>
      </c>
    </row>
    <row r="56" spans="1:7" ht="30" customHeight="1" x14ac:dyDescent="0.45">
      <c r="A56" s="18" t="s">
        <v>643</v>
      </c>
      <c r="B56" s="18" t="s">
        <v>39</v>
      </c>
      <c r="C56" s="3" t="s">
        <v>644</v>
      </c>
      <c r="D56" s="3" t="s">
        <v>513</v>
      </c>
      <c r="E56" s="32" t="s">
        <v>645</v>
      </c>
      <c r="F56" s="3" t="s">
        <v>515</v>
      </c>
      <c r="G56" s="18" t="s">
        <v>478</v>
      </c>
    </row>
    <row r="57" spans="1:7" ht="30" customHeight="1" x14ac:dyDescent="0.45">
      <c r="A57" s="18" t="s">
        <v>646</v>
      </c>
      <c r="B57" s="18" t="s">
        <v>39</v>
      </c>
      <c r="C57" s="3" t="s">
        <v>647</v>
      </c>
      <c r="D57" s="3" t="s">
        <v>513</v>
      </c>
      <c r="E57" s="32" t="s">
        <v>648</v>
      </c>
      <c r="F57" s="3" t="s">
        <v>561</v>
      </c>
      <c r="G57" s="18" t="s">
        <v>478</v>
      </c>
    </row>
    <row r="58" spans="1:7" ht="30" customHeight="1" x14ac:dyDescent="0.45">
      <c r="A58" s="18" t="s">
        <v>649</v>
      </c>
      <c r="B58" s="18" t="s">
        <v>39</v>
      </c>
      <c r="C58" s="3" t="s">
        <v>650</v>
      </c>
      <c r="D58" s="3" t="s">
        <v>513</v>
      </c>
      <c r="E58" s="32" t="s">
        <v>651</v>
      </c>
      <c r="F58" s="3" t="s">
        <v>561</v>
      </c>
      <c r="G58" s="18" t="s">
        <v>478</v>
      </c>
    </row>
    <row r="59" spans="1:7" ht="45" customHeight="1" x14ac:dyDescent="0.45">
      <c r="A59" s="18" t="s">
        <v>652</v>
      </c>
      <c r="B59" s="18" t="s">
        <v>39</v>
      </c>
      <c r="C59" s="3" t="s">
        <v>653</v>
      </c>
      <c r="D59" s="3" t="s">
        <v>513</v>
      </c>
      <c r="E59" s="32" t="s">
        <v>654</v>
      </c>
      <c r="F59" s="3" t="s">
        <v>655</v>
      </c>
      <c r="G59" s="18" t="s">
        <v>478</v>
      </c>
    </row>
    <row r="60" spans="1:7" ht="45" customHeight="1" x14ac:dyDescent="0.45">
      <c r="A60" s="18" t="s">
        <v>656</v>
      </c>
      <c r="B60" s="18" t="s">
        <v>39</v>
      </c>
      <c r="C60" s="3" t="s">
        <v>657</v>
      </c>
      <c r="D60" s="3" t="s">
        <v>513</v>
      </c>
      <c r="E60" s="32" t="s">
        <v>658</v>
      </c>
      <c r="F60" s="3" t="s">
        <v>659</v>
      </c>
      <c r="G60" s="18" t="s">
        <v>478</v>
      </c>
    </row>
    <row r="61" spans="1:7" ht="30" customHeight="1" x14ac:dyDescent="0.45">
      <c r="A61" s="18" t="s">
        <v>660</v>
      </c>
      <c r="B61" s="18" t="s">
        <v>39</v>
      </c>
      <c r="C61" s="3" t="s">
        <v>661</v>
      </c>
      <c r="D61" s="3" t="s">
        <v>539</v>
      </c>
      <c r="E61" s="32" t="s">
        <v>662</v>
      </c>
      <c r="F61" s="3" t="s">
        <v>541</v>
      </c>
      <c r="G61" s="18" t="s">
        <v>478</v>
      </c>
    </row>
    <row r="62" spans="1:7" ht="30" customHeight="1" x14ac:dyDescent="0.45">
      <c r="A62" s="18" t="s">
        <v>663</v>
      </c>
      <c r="B62" s="18" t="s">
        <v>39</v>
      </c>
      <c r="C62" s="3" t="s">
        <v>664</v>
      </c>
      <c r="D62" s="3" t="s">
        <v>513</v>
      </c>
      <c r="E62" s="32" t="s">
        <v>665</v>
      </c>
      <c r="F62" s="3" t="s">
        <v>515</v>
      </c>
      <c r="G62" s="18" t="s">
        <v>478</v>
      </c>
    </row>
    <row r="63" spans="1:7" ht="30" customHeight="1" x14ac:dyDescent="0.45">
      <c r="A63" s="18" t="s">
        <v>185</v>
      </c>
      <c r="B63" s="18" t="s">
        <v>445</v>
      </c>
      <c r="C63" s="3" t="s">
        <v>666</v>
      </c>
      <c r="D63" s="3" t="s">
        <v>667</v>
      </c>
      <c r="E63" s="32" t="s">
        <v>668</v>
      </c>
      <c r="F63" s="3" t="s">
        <v>669</v>
      </c>
      <c r="G63" s="18" t="s">
        <v>478</v>
      </c>
    </row>
    <row r="64" spans="1:7" ht="30" customHeight="1" x14ac:dyDescent="0.45">
      <c r="A64" s="18" t="s">
        <v>182</v>
      </c>
      <c r="B64" s="18" t="s">
        <v>445</v>
      </c>
      <c r="C64" s="3" t="s">
        <v>670</v>
      </c>
      <c r="D64" s="3" t="s">
        <v>667</v>
      </c>
      <c r="E64" s="32" t="s">
        <v>671</v>
      </c>
      <c r="F64" s="3" t="s">
        <v>672</v>
      </c>
      <c r="G64" s="18" t="s">
        <v>478</v>
      </c>
    </row>
    <row r="65" spans="1:7" ht="30" customHeight="1" x14ac:dyDescent="0.45">
      <c r="A65" s="18" t="s">
        <v>673</v>
      </c>
      <c r="B65" s="18" t="s">
        <v>445</v>
      </c>
      <c r="C65" s="3" t="s">
        <v>674</v>
      </c>
      <c r="D65" s="3" t="s">
        <v>675</v>
      </c>
      <c r="E65" s="32" t="s">
        <v>676</v>
      </c>
      <c r="F65" s="3" t="s">
        <v>515</v>
      </c>
      <c r="G65" s="18" t="s">
        <v>478</v>
      </c>
    </row>
    <row r="66" spans="1:7" ht="30" customHeight="1" x14ac:dyDescent="0.45">
      <c r="A66" s="18" t="s">
        <v>677</v>
      </c>
      <c r="B66" s="18" t="s">
        <v>445</v>
      </c>
      <c r="C66" s="3" t="s">
        <v>678</v>
      </c>
      <c r="D66" s="3" t="s">
        <v>675</v>
      </c>
      <c r="E66" s="32" t="s">
        <v>679</v>
      </c>
      <c r="F66" s="3" t="s">
        <v>680</v>
      </c>
      <c r="G66" s="18" t="s">
        <v>478</v>
      </c>
    </row>
    <row r="67" spans="1:7" ht="18" customHeight="1" x14ac:dyDescent="0.45">
      <c r="A67" s="18" t="s">
        <v>681</v>
      </c>
      <c r="B67" s="18" t="s">
        <v>445</v>
      </c>
      <c r="C67" s="3" t="s">
        <v>682</v>
      </c>
      <c r="D67" s="3" t="s">
        <v>683</v>
      </c>
      <c r="E67" s="32" t="s">
        <v>684</v>
      </c>
      <c r="F67" s="3" t="s">
        <v>515</v>
      </c>
      <c r="G67" s="18" t="s">
        <v>478</v>
      </c>
    </row>
    <row r="68" spans="1:7" ht="45" customHeight="1" x14ac:dyDescent="0.45">
      <c r="A68" s="18" t="s">
        <v>685</v>
      </c>
      <c r="B68" s="18" t="s">
        <v>445</v>
      </c>
      <c r="C68" s="3" t="s">
        <v>686</v>
      </c>
      <c r="D68" s="3" t="s">
        <v>513</v>
      </c>
      <c r="E68" s="32" t="s">
        <v>658</v>
      </c>
      <c r="F68" s="3" t="s">
        <v>687</v>
      </c>
      <c r="G68" s="18" t="s">
        <v>478</v>
      </c>
    </row>
    <row r="69" spans="1:7" ht="30" customHeight="1" x14ac:dyDescent="0.45">
      <c r="A69" s="18" t="s">
        <v>688</v>
      </c>
      <c r="B69" s="18" t="s">
        <v>445</v>
      </c>
      <c r="C69" s="3" t="s">
        <v>689</v>
      </c>
      <c r="D69" s="3" t="s">
        <v>513</v>
      </c>
      <c r="E69" s="32" t="s">
        <v>690</v>
      </c>
      <c r="F69" s="3" t="s">
        <v>691</v>
      </c>
      <c r="G69" s="18" t="s">
        <v>478</v>
      </c>
    </row>
    <row r="70" spans="1:7" ht="30" customHeight="1" x14ac:dyDescent="0.45">
      <c r="A70" s="18" t="s">
        <v>692</v>
      </c>
      <c r="B70" s="18" t="s">
        <v>445</v>
      </c>
      <c r="C70" s="3" t="s">
        <v>693</v>
      </c>
      <c r="D70" s="3" t="s">
        <v>694</v>
      </c>
      <c r="E70" s="32" t="s">
        <v>695</v>
      </c>
      <c r="F70" s="3" t="s">
        <v>515</v>
      </c>
      <c r="G70" s="18" t="s">
        <v>478</v>
      </c>
    </row>
    <row r="71" spans="1:7" ht="18" customHeight="1" x14ac:dyDescent="0.45">
      <c r="A71" s="18" t="s">
        <v>696</v>
      </c>
      <c r="B71" s="18" t="s">
        <v>445</v>
      </c>
      <c r="C71" s="3" t="s">
        <v>697</v>
      </c>
      <c r="D71" s="3" t="s">
        <v>694</v>
      </c>
      <c r="E71" s="32" t="s">
        <v>698</v>
      </c>
      <c r="F71" s="3" t="s">
        <v>699</v>
      </c>
      <c r="G71" s="18" t="s">
        <v>478</v>
      </c>
    </row>
    <row r="72" spans="1:7" ht="60" customHeight="1" x14ac:dyDescent="0.45">
      <c r="A72" s="18" t="s">
        <v>700</v>
      </c>
      <c r="B72" s="18" t="s">
        <v>445</v>
      </c>
      <c r="C72" s="3" t="s">
        <v>701</v>
      </c>
      <c r="D72" s="3" t="s">
        <v>702</v>
      </c>
      <c r="E72" s="32" t="s">
        <v>703</v>
      </c>
      <c r="F72" s="3" t="s">
        <v>515</v>
      </c>
      <c r="G72" s="18" t="s">
        <v>478</v>
      </c>
    </row>
    <row r="73" spans="1:7" ht="45" customHeight="1" x14ac:dyDescent="0.45">
      <c r="A73" s="18" t="s">
        <v>704</v>
      </c>
      <c r="B73" s="18" t="s">
        <v>445</v>
      </c>
      <c r="C73" s="3" t="s">
        <v>705</v>
      </c>
      <c r="D73" s="3" t="s">
        <v>702</v>
      </c>
      <c r="E73" s="32" t="s">
        <v>706</v>
      </c>
      <c r="F73" s="3" t="s">
        <v>707</v>
      </c>
      <c r="G73" s="18" t="s">
        <v>478</v>
      </c>
    </row>
    <row r="74" spans="1:7" ht="60" customHeight="1" x14ac:dyDescent="0.45">
      <c r="A74" s="18" t="s">
        <v>708</v>
      </c>
      <c r="B74" s="18" t="s">
        <v>445</v>
      </c>
      <c r="C74" s="3" t="s">
        <v>709</v>
      </c>
      <c r="D74" s="3" t="s">
        <v>667</v>
      </c>
      <c r="E74" s="32" t="s">
        <v>710</v>
      </c>
      <c r="F74" s="3" t="s">
        <v>711</v>
      </c>
      <c r="G74" s="18" t="s">
        <v>478</v>
      </c>
    </row>
  </sheetData>
  <autoFilter ref="A4:G74" xr:uid="{00000000-0009-0000-0000-000008000000}"/>
  <mergeCells count="1">
    <mergeCell ref="A2:G2"/>
  </mergeCells>
  <phoneticPr fontId="8"/>
  <hyperlinks>
    <hyperlink ref="E5" r:id="rId1" xr:uid="{00000000-0004-0000-0800-000000000000}"/>
    <hyperlink ref="E6" r:id="rId2" xr:uid="{00000000-0004-0000-0800-000001000000}"/>
    <hyperlink ref="E7" r:id="rId3" xr:uid="{00000000-0004-0000-0800-000002000000}"/>
    <hyperlink ref="E8" r:id="rId4" xr:uid="{00000000-0004-0000-0800-000003000000}"/>
    <hyperlink ref="E9" r:id="rId5" xr:uid="{00000000-0004-0000-0800-000004000000}"/>
    <hyperlink ref="E10" r:id="rId6" xr:uid="{00000000-0004-0000-0800-000005000000}"/>
    <hyperlink ref="E11" r:id="rId7" xr:uid="{00000000-0004-0000-0800-000006000000}"/>
    <hyperlink ref="E12" r:id="rId8" xr:uid="{00000000-0004-0000-0800-000007000000}"/>
    <hyperlink ref="E13" r:id="rId9" xr:uid="{00000000-0004-0000-0800-000008000000}"/>
    <hyperlink ref="E14" r:id="rId10" xr:uid="{00000000-0004-0000-0800-000009000000}"/>
    <hyperlink ref="E15" r:id="rId11" xr:uid="{00000000-0004-0000-0800-00000A000000}"/>
    <hyperlink ref="E16" r:id="rId12" xr:uid="{00000000-0004-0000-0800-00000B000000}"/>
    <hyperlink ref="E17" r:id="rId13" xr:uid="{00000000-0004-0000-0800-00000C000000}"/>
    <hyperlink ref="E18" r:id="rId14" xr:uid="{00000000-0004-0000-0800-00000D000000}"/>
    <hyperlink ref="E19" r:id="rId15" xr:uid="{00000000-0004-0000-0800-00000E000000}"/>
    <hyperlink ref="E20" r:id="rId16" xr:uid="{00000000-0004-0000-0800-00000F000000}"/>
    <hyperlink ref="E21" r:id="rId17" xr:uid="{00000000-0004-0000-0800-000010000000}"/>
    <hyperlink ref="E22" r:id="rId18" xr:uid="{00000000-0004-0000-0800-000011000000}"/>
    <hyperlink ref="E23" r:id="rId19" xr:uid="{00000000-0004-0000-0800-000012000000}"/>
    <hyperlink ref="E24" r:id="rId20" xr:uid="{00000000-0004-0000-0800-000013000000}"/>
    <hyperlink ref="E25" r:id="rId21" xr:uid="{00000000-0004-0000-0800-000014000000}"/>
    <hyperlink ref="E26" r:id="rId22" xr:uid="{00000000-0004-0000-0800-000015000000}"/>
    <hyperlink ref="E27" r:id="rId23" xr:uid="{00000000-0004-0000-0800-000016000000}"/>
    <hyperlink ref="E28" r:id="rId24" xr:uid="{00000000-0004-0000-0800-000017000000}"/>
    <hyperlink ref="E29" r:id="rId25" xr:uid="{00000000-0004-0000-0800-000018000000}"/>
    <hyperlink ref="E30" r:id="rId26" xr:uid="{00000000-0004-0000-0800-000019000000}"/>
    <hyperlink ref="E31" r:id="rId27" xr:uid="{00000000-0004-0000-0800-00001A000000}"/>
    <hyperlink ref="E32" r:id="rId28" xr:uid="{00000000-0004-0000-0800-00001B000000}"/>
    <hyperlink ref="E33" r:id="rId29" xr:uid="{00000000-0004-0000-0800-00001C000000}"/>
    <hyperlink ref="E34" r:id="rId30" xr:uid="{00000000-0004-0000-0800-00001D000000}"/>
    <hyperlink ref="E35" r:id="rId31" xr:uid="{00000000-0004-0000-0800-00001E000000}"/>
    <hyperlink ref="E36" r:id="rId32" xr:uid="{00000000-0004-0000-0800-00001F000000}"/>
    <hyperlink ref="E37" r:id="rId33" xr:uid="{00000000-0004-0000-0800-000020000000}"/>
    <hyperlink ref="E38" r:id="rId34" xr:uid="{00000000-0004-0000-0800-000021000000}"/>
    <hyperlink ref="E39" r:id="rId35" xr:uid="{00000000-0004-0000-0800-000022000000}"/>
    <hyperlink ref="E40" r:id="rId36" xr:uid="{00000000-0004-0000-0800-000023000000}"/>
    <hyperlink ref="E41" r:id="rId37" xr:uid="{00000000-0004-0000-0800-000024000000}"/>
    <hyperlink ref="E42" r:id="rId38" xr:uid="{00000000-0004-0000-0800-000025000000}"/>
    <hyperlink ref="E43" r:id="rId39" xr:uid="{00000000-0004-0000-0800-000026000000}"/>
    <hyperlink ref="E44" r:id="rId40" xr:uid="{00000000-0004-0000-0800-000027000000}"/>
    <hyperlink ref="E45" r:id="rId41" xr:uid="{00000000-0004-0000-0800-000028000000}"/>
    <hyperlink ref="E46" r:id="rId42" xr:uid="{00000000-0004-0000-0800-000029000000}"/>
    <hyperlink ref="E47" r:id="rId43" xr:uid="{00000000-0004-0000-0800-00002A000000}"/>
    <hyperlink ref="E48" r:id="rId44" xr:uid="{00000000-0004-0000-0800-00002B000000}"/>
    <hyperlink ref="E49" r:id="rId45" xr:uid="{00000000-0004-0000-0800-00002C000000}"/>
    <hyperlink ref="E50" r:id="rId46" xr:uid="{00000000-0004-0000-0800-00002D000000}"/>
    <hyperlink ref="E51" r:id="rId47" xr:uid="{00000000-0004-0000-0800-00002E000000}"/>
    <hyperlink ref="E52" r:id="rId48" xr:uid="{00000000-0004-0000-0800-00002F000000}"/>
    <hyperlink ref="E53" r:id="rId49" xr:uid="{00000000-0004-0000-0800-000030000000}"/>
    <hyperlink ref="E54" r:id="rId50" xr:uid="{00000000-0004-0000-0800-000031000000}"/>
    <hyperlink ref="E55" r:id="rId51" xr:uid="{00000000-0004-0000-0800-000032000000}"/>
    <hyperlink ref="E56" r:id="rId52" xr:uid="{00000000-0004-0000-0800-000033000000}"/>
    <hyperlink ref="E57" r:id="rId53" xr:uid="{00000000-0004-0000-0800-000034000000}"/>
    <hyperlink ref="E58" r:id="rId54" xr:uid="{00000000-0004-0000-0800-000035000000}"/>
    <hyperlink ref="E59" r:id="rId55" xr:uid="{00000000-0004-0000-0800-000036000000}"/>
    <hyperlink ref="E60" r:id="rId56" xr:uid="{00000000-0004-0000-0800-000037000000}"/>
    <hyperlink ref="E61" r:id="rId57" xr:uid="{00000000-0004-0000-0800-000038000000}"/>
    <hyperlink ref="E62" r:id="rId58" xr:uid="{00000000-0004-0000-0800-000039000000}"/>
    <hyperlink ref="E63" r:id="rId59" xr:uid="{00000000-0004-0000-0800-00003A000000}"/>
    <hyperlink ref="E64" r:id="rId60" xr:uid="{00000000-0004-0000-0800-00003B000000}"/>
    <hyperlink ref="E65" r:id="rId61" xr:uid="{00000000-0004-0000-0800-00003C000000}"/>
    <hyperlink ref="E66" r:id="rId62" xr:uid="{00000000-0004-0000-0800-00003D000000}"/>
    <hyperlink ref="E67" r:id="rId63" xr:uid="{00000000-0004-0000-0800-00003E000000}"/>
    <hyperlink ref="E68" r:id="rId64" xr:uid="{00000000-0004-0000-0800-00003F000000}"/>
    <hyperlink ref="E69" r:id="rId65" xr:uid="{00000000-0004-0000-0800-000040000000}"/>
    <hyperlink ref="E70" r:id="rId66" xr:uid="{00000000-0004-0000-0800-000041000000}"/>
    <hyperlink ref="E71" r:id="rId67" xr:uid="{00000000-0004-0000-0800-000042000000}"/>
    <hyperlink ref="E72" r:id="rId68" xr:uid="{00000000-0004-0000-0800-000043000000}"/>
    <hyperlink ref="E73" r:id="rId69" xr:uid="{00000000-0004-0000-0800-000044000000}"/>
    <hyperlink ref="E74" r:id="rId70" xr:uid="{00000000-0004-0000-0800-000045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はじめに</vt:lpstr>
      <vt:lpstr>4つの比較</vt:lpstr>
      <vt:lpstr>HIV・エイズ</vt:lpstr>
      <vt:lpstr>HIV・世界の動向</vt:lpstr>
      <vt:lpstr>梅毒</vt:lpstr>
      <vt:lpstr>はしか</vt:lpstr>
      <vt:lpstr>結核</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2026-10-26T08:13:57Z</dcterms:created>
  <dcterms:modified xsi:type="dcterms:W3CDTF">2026-10-26T08:14:20Z</dcterms:modified>
</cp:coreProperties>
</file>