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A9D41E4C-A4A9-411C-BC99-60B0BAA23277}"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4つの比較" sheetId="4" r:id="rId4"/>
    <sheet name="公費の支援" sheetId="5" r:id="rId5"/>
    <sheet name="医療費" sheetId="6" r:id="rId6"/>
    <sheet name="HIV・エイズ" sheetId="7" r:id="rId7"/>
    <sheet name="HIV・世界の動向" sheetId="8" r:id="rId8"/>
    <sheet name="梅毒" sheetId="9" r:id="rId9"/>
    <sheet name="はしか" sheetId="10" r:id="rId10"/>
    <sheet name="結核" sheetId="11" r:id="rId11"/>
    <sheet name="病気の解説" sheetId="12" r:id="rId12"/>
    <sheet name="その他・資料の案内" sheetId="13" r:id="rId13"/>
    <sheet name="見るときの注意" sheetId="14" r:id="rId14"/>
    <sheet name="出典一覧" sheetId="15" r:id="rId15"/>
  </sheets>
  <definedNames>
    <definedName name="_xlnm._FilterDatabase" localSheetId="5" hidden="1">医療費!$A$4:$K$78</definedName>
    <definedName name="_xlnm._FilterDatabase" localSheetId="4" hidden="1">公費の支援!$A$5:$E$17</definedName>
    <definedName name="_xlnm._FilterDatabase" localSheetId="1" hidden="1">国別の比較!$A$5:$AA$221</definedName>
    <definedName name="_xlnm._FilterDatabase" localSheetId="14" hidden="1">出典一覧!$A$4:$G$211</definedName>
    <definedName name="_xlnm._FilterDatabase" localSheetId="11"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1" l="1"/>
  <c r="D15" i="11"/>
  <c r="D14" i="11"/>
  <c r="D13" i="11"/>
  <c r="D12" i="11"/>
  <c r="D11" i="11"/>
  <c r="D10" i="11"/>
  <c r="D9" i="11"/>
  <c r="D8" i="11"/>
  <c r="D7" i="11"/>
  <c r="E21" i="10"/>
  <c r="C16" i="10"/>
  <c r="C15" i="10"/>
  <c r="C14" i="10"/>
  <c r="C13" i="10"/>
  <c r="C12" i="10"/>
  <c r="C11" i="10"/>
  <c r="C10" i="10"/>
  <c r="C9" i="10"/>
  <c r="C8" i="10"/>
  <c r="C7" i="10"/>
  <c r="E21" i="9"/>
  <c r="E16" i="9"/>
  <c r="E15" i="9"/>
  <c r="E14" i="9"/>
  <c r="E13" i="9"/>
  <c r="E12" i="9"/>
  <c r="E11" i="9"/>
  <c r="E10" i="9"/>
  <c r="E9" i="9"/>
  <c r="E8" i="9"/>
  <c r="E7" i="9"/>
  <c r="E22" i="7"/>
  <c r="E21" i="7"/>
  <c r="E20" i="7"/>
  <c r="D15" i="7"/>
  <c r="D5" i="4" s="1"/>
  <c r="D14" i="7"/>
  <c r="D13" i="7"/>
  <c r="E14" i="7" s="1"/>
  <c r="D12" i="7"/>
  <c r="E13" i="7" s="1"/>
  <c r="D11" i="7"/>
  <c r="E12" i="7" s="1"/>
  <c r="D10" i="7"/>
  <c r="D9" i="7"/>
  <c r="D8" i="7"/>
  <c r="E9" i="7" s="1"/>
  <c r="D7" i="7"/>
  <c r="E8" i="7" s="1"/>
  <c r="D6" i="7"/>
  <c r="E7" i="7" s="1"/>
  <c r="M8" i="4"/>
  <c r="L8" i="4"/>
  <c r="N8" i="4" s="1"/>
  <c r="K8" i="4"/>
  <c r="H8" i="4"/>
  <c r="G8" i="4"/>
  <c r="E8" i="4"/>
  <c r="D8" i="4"/>
  <c r="C8" i="4"/>
  <c r="M7" i="4"/>
  <c r="L7" i="4"/>
  <c r="N7" i="4" s="1"/>
  <c r="K7" i="4"/>
  <c r="J7" i="4"/>
  <c r="H7" i="4"/>
  <c r="G7" i="4"/>
  <c r="E7" i="4"/>
  <c r="D7" i="4"/>
  <c r="F7" i="4" s="1"/>
  <c r="C7" i="4"/>
  <c r="M6" i="4"/>
  <c r="L6" i="4"/>
  <c r="N6" i="4" s="1"/>
  <c r="K6" i="4"/>
  <c r="J6" i="4"/>
  <c r="H6" i="4"/>
  <c r="G6" i="4"/>
  <c r="E6" i="4"/>
  <c r="D6" i="4"/>
  <c r="C6" i="4"/>
  <c r="M5" i="4"/>
  <c r="L5" i="4"/>
  <c r="N5" i="4" s="1"/>
  <c r="K5" i="4"/>
  <c r="H5" i="4"/>
  <c r="G5" i="4"/>
  <c r="C5" i="4"/>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7" i="4" l="1"/>
  <c r="F5" i="4"/>
  <c r="I5" i="4"/>
  <c r="E15" i="7"/>
  <c r="E5" i="4"/>
  <c r="E11" i="7"/>
  <c r="E10" i="7"/>
  <c r="I8" i="4"/>
  <c r="F8" i="4"/>
  <c r="I6" i="4"/>
  <c r="F6" i="4"/>
</calcChain>
</file>

<file path=xl/sharedStrings.xml><?xml version="1.0" encoding="utf-8"?>
<sst xmlns="http://schemas.openxmlformats.org/spreadsheetml/2006/main" count="7383" uniqueCount="2888">
  <si>
    <t>世界の感染症と日本の水際対策：HIV/エイズ・梅毒・はしか・結核</t>
  </si>
  <si>
    <t>作成日</t>
  </si>
  <si>
    <t>2026年10月26日（この日までに国が公表した資料をもとにしています）</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</si>
  <si>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</si>
  <si>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</si>
  <si>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</si>
  <si>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</si>
  <si>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</si>
  <si>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
「HIV・エイズ」「梅毒」「はしか」「結核」…病気ごとの詳しい数字です。
「HIV・世界の動向」…世界全体と、日本と協力覚書を結んだ国のHIVの状況（UNAIDSの推計）、移住者とHIV、入国前の健康診断。
「病気の解説」…概要・感染経路・世界の状況・検査・予防・治療。
「その他・資料の案内」…その他の感染症の簡単な紹介と、さらに詳しく調べるための資料。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</si>
  <si>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</si>
  <si>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</si>
  <si>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</si>
  <si>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</si>
  <si>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</si>
  <si>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</si>
  <si>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</si>
  <si>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</si>
  <si>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</si>
  <si>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</si>
  <si>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</si>
  <si>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</si>
  <si>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報告数をWHOの結核推計の人口で割ってこの表で計算しています（式が入っていま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</si>
  <si>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</si>
  <si>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</si>
  <si>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</si>
  <si>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</si>
  <si>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</si>
  <si>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</si>
  <si>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</si>
  <si>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</si>
  <si>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</si>
  <si>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</si>
  <si>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</si>
  <si>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</si>
  <si>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</si>
  <si>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</si>
  <si>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</si>
  <si>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t>
  </si>
  <si>
    <t>はしか：人口100万人あたり（計算）</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</si>
  <si>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</si>
  <si>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</si>
  <si>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</si>
  <si>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</si>
  <si>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</si>
  <si>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</si>
  <si>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</si>
  <si>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</si>
  <si>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</si>
  <si>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</si>
  <si>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</si>
  <si>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</si>
  <si>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</si>
  <si>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</si>
  <si>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</si>
  <si>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</si>
  <si>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</si>
  <si>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</si>
  <si>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</si>
  <si>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</si>
  <si>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</si>
  <si>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</si>
  <si>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</si>
  <si>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</si>
  <si>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</si>
  <si>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</si>
  <si>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</si>
  <si>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</si>
  <si>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</si>
  <si>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</si>
  <si>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</si>
  <si>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</si>
  <si>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</si>
  <si>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</si>
  <si>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</si>
  <si>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</si>
  <si>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</si>
  <si>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</si>
  <si>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</si>
  <si>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</si>
  <si>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</si>
  <si>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</si>
  <si>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</si>
  <si>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</si>
  <si>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</si>
  <si>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</si>
  <si>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</si>
  <si>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</si>
  <si>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</si>
  <si>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</si>
  <si>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</si>
  <si>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</si>
  <si>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</si>
  <si>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</si>
  <si>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</si>
  <si>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</si>
  <si>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</si>
  <si>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</si>
  <si>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</si>
  <si>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</si>
  <si>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</si>
  <si>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</si>
  <si>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</si>
  <si>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</si>
  <si>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</si>
  <si>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</si>
  <si>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</si>
  <si>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</si>
  <si>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</si>
  <si>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</si>
  <si>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</si>
  <si>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</si>
  <si>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</si>
  <si>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</si>
  <si>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</si>
  <si>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</si>
  <si>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</si>
  <si>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</si>
  <si>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</si>
  <si>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</si>
  <si>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</si>
  <si>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</si>
  <si>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</si>
  <si>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</si>
  <si>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</si>
  <si>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</si>
  <si>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</si>
  <si>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</si>
  <si>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</si>
  <si>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</si>
  <si>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</si>
  <si>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</si>
  <si>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</si>
  <si>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</si>
  <si>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</si>
  <si>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</si>
  <si>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</si>
  <si>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</si>
  <si>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</si>
  <si>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</si>
  <si>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</si>
  <si>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</si>
  <si>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</si>
  <si>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</si>
  <si>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</si>
  <si>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</si>
  <si>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</si>
  <si>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</si>
  <si>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</si>
  <si>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</si>
  <si>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</si>
  <si>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</si>
  <si>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</si>
  <si>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</si>
  <si>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</si>
  <si>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</si>
  <si>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</si>
  <si>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</si>
  <si>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</si>
  <si>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</si>
  <si>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</si>
  <si>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</si>
  <si>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</si>
  <si>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</si>
  <si>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</si>
  <si>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</si>
  <si>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</si>
  <si>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</si>
  <si>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</si>
  <si>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</si>
  <si>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</si>
  <si>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</si>
  <si>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</si>
  <si>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</si>
  <si>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</si>
  <si>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</si>
  <si>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</si>
  <si>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</si>
  <si>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</si>
  <si>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</si>
  <si>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</si>
  <si>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</si>
  <si>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</si>
  <si>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</si>
  <si>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</si>
  <si>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</si>
  <si>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</si>
  <si>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</si>
  <si>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</si>
  <si>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</si>
  <si>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</si>
  <si>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</si>
  <si>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</si>
  <si>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</si>
  <si>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</si>
  <si>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</si>
  <si>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</si>
  <si>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</si>
  <si>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</si>
  <si>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</si>
  <si>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</si>
  <si>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</si>
  <si>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</si>
  <si>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</si>
  <si>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</si>
  <si>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</si>
  <si>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</si>
  <si>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</si>
  <si>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</si>
  <si>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</si>
  <si>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</si>
  <si>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</si>
  <si>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</si>
  <si>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</si>
  <si>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</si>
  <si>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</si>
  <si>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</si>
  <si>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</si>
  <si>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</si>
  <si>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</si>
  <si>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</si>
  <si>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</si>
  <si>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</si>
  <si>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</si>
  <si>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</si>
  <si>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</si>
  <si>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</si>
  <si>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</si>
  <si>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</si>
  <si>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</si>
  <si>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</si>
  <si>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</si>
  <si>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</si>
  <si>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</si>
  <si>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</si>
  <si>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</si>
  <si>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</si>
  <si>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</si>
  <si>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</si>
  <si>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</si>
  <si>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</si>
  <si>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</si>
  <si>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</si>
  <si>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</si>
  <si>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</si>
  <si>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</si>
  <si>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</si>
  <si>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</si>
  <si>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</si>
  <si>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</si>
  <si>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</si>
  <si>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</si>
  <si>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</si>
  <si>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</si>
  <si>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</si>
  <si>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</si>
  <si>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</si>
  <si>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</si>
  <si>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</si>
  <si>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</si>
  <si>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</si>
  <si>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</si>
  <si>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</si>
  <si>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</si>
  <si>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</si>
  <si>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</si>
  <si>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</si>
  <si>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</si>
  <si>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</si>
  <si>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</si>
  <si>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</si>
  <si>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</si>
  <si>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</si>
  <si>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</si>
  <si>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</si>
  <si>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</si>
  <si>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</si>
  <si>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</si>
  <si>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</si>
  <si>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</si>
  <si>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</si>
  <si>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</si>
  <si>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</si>
  <si>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</si>
  <si>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</si>
  <si>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</si>
  <si>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</si>
  <si>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</si>
  <si>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</si>
  <si>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</si>
  <si>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</si>
  <si>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</si>
  <si>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</si>
  <si>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</si>
  <si>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</si>
  <si>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</si>
  <si>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</si>
  <si>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</si>
  <si>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</si>
  <si>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</si>
  <si>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</si>
  <si>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</si>
  <si>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</si>
  <si>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</si>
  <si>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</si>
  <si>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</si>
  <si>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</si>
  <si>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</si>
  <si>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</si>
  <si>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</si>
  <si>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</si>
  <si>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</si>
  <si>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</si>
  <si>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</si>
  <si>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</si>
  <si>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</si>
  <si>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</si>
  <si>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</si>
  <si>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</si>
  <si>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</si>
  <si>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</si>
  <si>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</si>
  <si>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</si>
  <si>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</si>
  <si>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</si>
  <si>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</si>
  <si>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</si>
  <si>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</si>
  <si>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</si>
  <si>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</si>
  <si>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</si>
  <si>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</si>
  <si>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</si>
  <si>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</si>
  <si>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</si>
  <si>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</si>
  <si>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</si>
  <si>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</si>
  <si>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</si>
  <si>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</si>
  <si>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</si>
  <si>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</si>
  <si>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</si>
  <si>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</si>
  <si>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</si>
  <si>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</si>
  <si>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</si>
  <si>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</si>
  <si>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</si>
  <si>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</si>
  <si>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</si>
  <si>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</si>
  <si>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</si>
  <si>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</si>
  <si>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</si>
  <si>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</si>
  <si>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</si>
  <si>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</si>
  <si>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</si>
  <si>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</si>
  <si>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</si>
  <si>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</si>
  <si>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</si>
  <si>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</si>
  <si>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</si>
  <si>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</si>
  <si>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</si>
  <si>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</si>
  <si>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</si>
  <si>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</si>
  <si>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</si>
  <si>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</si>
  <si>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</si>
  <si>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</si>
  <si>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</si>
  <si>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</si>
  <si>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</si>
  <si>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</si>
  <si>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</si>
  <si>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</si>
  <si>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</si>
  <si>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</si>
  <si>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</si>
  <si>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</si>
  <si>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</si>
  <si>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</si>
  <si>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</si>
  <si>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</si>
  <si>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</si>
  <si>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</si>
  <si>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</si>
  <si>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</si>
  <si>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</si>
  <si>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</si>
  <si>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</si>
  <si>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</si>
  <si>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</si>
  <si>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</si>
  <si>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</si>
  <si>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</si>
  <si>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</si>
  <si>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</si>
  <si>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</si>
  <si>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</si>
  <si>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</si>
  <si>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</si>
  <si>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</si>
  <si>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</si>
  <si>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</si>
  <si>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</si>
  <si>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</si>
  <si>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</si>
  <si>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</si>
  <si>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</si>
  <si>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</si>
  <si>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</si>
  <si>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</si>
  <si>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</si>
  <si>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</si>
  <si>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</si>
  <si>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</si>
  <si>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</si>
  <si>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</si>
  <si>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</si>
  <si>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</si>
  <si>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</si>
  <si>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</si>
  <si>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</si>
  <si>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</si>
  <si>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</si>
  <si>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</si>
  <si>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</si>
  <si>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</si>
  <si>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</si>
  <si>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</si>
  <si>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</si>
  <si>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</si>
  <si>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</si>
  <si>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</si>
  <si>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</si>
  <si>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</si>
  <si>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</si>
  <si>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</si>
  <si>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</si>
  <si>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</si>
  <si>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</si>
  <si>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</si>
  <si>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</si>
  <si>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</si>
  <si>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</si>
  <si>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</si>
  <si>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</si>
  <si>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</si>
  <si>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</si>
  <si>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</si>
  <si>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</si>
  <si>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</si>
  <si>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</si>
  <si>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</si>
  <si>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</si>
  <si>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</si>
  <si>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</si>
  <si>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</si>
  <si>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</si>
  <si>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</si>
  <si>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</si>
  <si>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</si>
  <si>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</si>
  <si>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</si>
  <si>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</si>
  <si>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</si>
  <si>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</si>
  <si>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</si>
  <si>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</si>
  <si>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</si>
  <si>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</si>
  <si>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</si>
  <si>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</si>
  <si>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</si>
  <si>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</si>
  <si>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</si>
  <si>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</si>
  <si>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</si>
  <si>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</si>
  <si>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</si>
  <si>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</si>
  <si>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</si>
  <si>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</si>
  <si>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</si>
  <si>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</si>
  <si>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</si>
  <si>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</si>
  <si>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</si>
  <si>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</si>
  <si>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</si>
  <si>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</si>
  <si>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</si>
  <si>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</si>
  <si>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</si>
  <si>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</si>
  <si>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</si>
  <si>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</si>
  <si>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</si>
  <si>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</si>
  <si>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</si>
  <si>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</si>
  <si>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</si>
  <si>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</si>
  <si>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</si>
  <si>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</si>
  <si>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</si>
  <si>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</si>
  <si>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</si>
  <si>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</si>
  <si>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</si>
  <si>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</si>
  <si>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</si>
  <si>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</si>
  <si>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</si>
  <si>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</si>
  <si>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</si>
  <si>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</si>
  <si>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</si>
  <si>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</si>
  <si>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</si>
  <si>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</si>
  <si>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</si>
  <si>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</si>
  <si>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</si>
  <si>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</si>
  <si>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</si>
  <si>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</si>
  <si>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</si>
  <si>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</si>
  <si>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</si>
  <si>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</si>
  <si>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</si>
  <si>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</si>
  <si>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</si>
  <si>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</si>
  <si>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</si>
  <si>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</si>
  <si>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</si>
  <si>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</si>
  <si>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</si>
  <si>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</si>
  <si>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</si>
  <si>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</si>
  <si>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</si>
  <si>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</si>
  <si>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</si>
  <si>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</si>
  <si>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</si>
  <si>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</si>
  <si>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</si>
  <si>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</si>
  <si>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</si>
  <si>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</si>
  <si>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</si>
  <si>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</si>
  <si>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</si>
  <si>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</si>
  <si>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</si>
  <si>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</si>
  <si>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</si>
  <si>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</si>
  <si>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</si>
  <si>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</si>
  <si>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</si>
  <si>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</si>
  <si>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</si>
  <si>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</si>
  <si>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</si>
  <si>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</si>
  <si>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</si>
  <si>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</si>
  <si>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</si>
  <si>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</si>
  <si>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</si>
  <si>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</si>
  <si>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</si>
  <si>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</si>
  <si>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</si>
  <si>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</si>
  <si>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</si>
  <si>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</si>
  <si>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</si>
  <si>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</si>
  <si>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</si>
  <si>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</si>
  <si>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</si>
  <si>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</si>
  <si>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</si>
  <si>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</si>
  <si>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</si>
  <si>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</si>
  <si>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</si>
  <si>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</si>
  <si>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</si>
  <si>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</si>
  <si>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</si>
  <si>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</si>
  <si>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</si>
  <si>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</si>
  <si>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</si>
  <si>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</si>
  <si>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</si>
  <si>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</si>
  <si>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</si>
  <si>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</si>
  <si>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</si>
  <si>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</si>
  <si>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</si>
  <si>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</si>
  <si>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</si>
  <si>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</si>
  <si>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</si>
  <si>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</si>
  <si>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</si>
  <si>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</si>
  <si>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</si>
  <si>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</si>
  <si>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</si>
  <si>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</si>
  <si>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</si>
  <si>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</si>
  <si>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</si>
  <si>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</si>
  <si>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</si>
  <si>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</si>
  <si>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</si>
  <si>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</si>
  <si>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</si>
  <si>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</si>
  <si>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</si>
  <si>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</si>
  <si>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</si>
  <si>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</si>
  <si>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</si>
  <si>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</si>
  <si>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</si>
  <si>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</si>
  <si>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</si>
  <si>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</si>
  <si>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</si>
  <si>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</si>
  <si>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</si>
  <si>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</si>
  <si>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</si>
  <si>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</si>
  <si>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</si>
  <si>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</si>
  <si>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</si>
  <si>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</si>
  <si>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</si>
  <si>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</si>
  <si>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</si>
  <si>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</si>
  <si>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</si>
  <si>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</si>
  <si>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</si>
  <si>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</si>
  <si>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</si>
  <si>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</si>
  <si>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</si>
  <si>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</si>
  <si>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</si>
  <si>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</si>
  <si>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</si>
  <si>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</si>
  <si>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</si>
  <si>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</si>
  <si>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</si>
  <si>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</si>
  <si>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</si>
  <si>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</si>
  <si>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</si>
  <si>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</si>
  <si>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</si>
  <si>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</si>
  <si>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</si>
  <si>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</si>
  <si>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</si>
  <si>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</si>
  <si>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</si>
  <si>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</si>
  <si>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</si>
  <si>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</si>
  <si>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</si>
  <si>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</si>
  <si>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</si>
  <si>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</si>
  <si>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</si>
  <si>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</si>
  <si>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</si>
  <si>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</si>
  <si>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</si>
  <si>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</si>
  <si>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</si>
  <si>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</si>
  <si>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</si>
  <si>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</si>
  <si>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</si>
  <si>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</si>
  <si>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</si>
  <si>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</si>
  <si>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</si>
  <si>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</si>
  <si>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</si>
  <si>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</si>
  <si>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</si>
  <si>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</si>
  <si>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</si>
  <si>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</si>
  <si>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</si>
  <si>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</si>
  <si>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</si>
  <si>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</si>
  <si>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</si>
  <si>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</si>
  <si>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</si>
  <si>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</si>
  <si>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</si>
  <si>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</si>
  <si>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</si>
  <si>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</si>
  <si>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</si>
  <si>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</si>
  <si>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</si>
  <si>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</si>
  <si>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</si>
  <si>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</si>
  <si>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</si>
  <si>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</si>
  <si>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</si>
  <si>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</si>
  <si>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</si>
  <si>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</si>
  <si>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</si>
  <si>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</si>
  <si>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</si>
  <si>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</si>
  <si>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</si>
  <si>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</si>
  <si>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</si>
  <si>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</si>
  <si>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</si>
  <si>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</si>
  <si>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</si>
  <si>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</si>
  <si>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</si>
  <si>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</si>
  <si>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</si>
  <si>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</si>
  <si>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</si>
  <si>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</si>
  <si>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</si>
  <si>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</si>
  <si>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</si>
  <si>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</si>
  <si>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</si>
  <si>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</si>
  <si>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</si>
  <si>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</si>
  <si>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</si>
  <si>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</si>
  <si>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</si>
  <si>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</si>
  <si>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</si>
  <si>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</si>
  <si>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</si>
  <si>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</si>
  <si>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</si>
  <si>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</si>
  <si>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</si>
  <si>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</si>
  <si>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</si>
  <si>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</si>
  <si>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</si>
  <si>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</si>
  <si>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</si>
  <si>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</si>
  <si>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</si>
  <si>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</si>
  <si>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</si>
  <si>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</si>
  <si>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</si>
  <si>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</si>
  <si>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</si>
  <si>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</si>
  <si>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</si>
  <si>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</si>
  <si>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</si>
  <si>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</si>
  <si>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</si>
  <si>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</si>
  <si>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</si>
  <si>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</si>
  <si>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</si>
  <si>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</si>
  <si>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</si>
  <si>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</si>
  <si>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</si>
  <si>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</si>
  <si>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</si>
  <si>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</si>
  <si>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</si>
  <si>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</si>
  <si>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</si>
  <si>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</si>
  <si>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</si>
  <si>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</si>
  <si>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</si>
  <si>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</si>
  <si>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</si>
  <si>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</si>
  <si>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</si>
  <si>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</si>
  <si>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</si>
  <si>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</si>
  <si>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</si>
  <si>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</si>
  <si>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</si>
  <si>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</si>
  <si>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</si>
  <si>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</si>
  <si>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</si>
  <si>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</si>
  <si>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</si>
  <si>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</si>
  <si>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</si>
  <si>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</si>
  <si>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</si>
  <si>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</si>
  <si>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</si>
  <si>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</si>
  <si>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</si>
  <si>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</si>
  <si>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</si>
  <si>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</si>
  <si>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</si>
  <si>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</si>
  <si>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</si>
  <si>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</si>
  <si>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</si>
  <si>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</si>
  <si>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</si>
  <si>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</si>
  <si>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</si>
  <si>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</si>
  <si>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</si>
  <si>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</si>
  <si>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</si>
  <si>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</si>
  <si>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</si>
  <si>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</si>
  <si>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</si>
  <si>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</si>
  <si>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</si>
  <si>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</si>
  <si>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</si>
  <si>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</si>
  <si>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</si>
  <si>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4つの病気の比較</t>
  </si>
  <si>
    <t>数字は各病気のシートから自動で読み込んでいます。前年比・10年前と比べた倍率・前年同期比はここで計算したものです。</t>
  </si>
  <si>
    <t>数えているもの</t>
  </si>
  <si>
    <t>最新の確定値の年</t>
  </si>
  <si>
    <t>最新の確定値</t>
  </si>
  <si>
    <t>その前の年</t>
  </si>
  <si>
    <t>前年比</t>
  </si>
  <si>
    <t>10年前の年</t>
  </si>
  <si>
    <t>10年前の数</t>
  </si>
  <si>
    <t>10年前と比べて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</si>
  <si>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</si>
  <si>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</si>
  <si>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</si>
  <si>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</si>
  <si>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</si>
  <si>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</si>
  <si>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</si>
  <si>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はしか（麻しん）</t>
  </si>
  <si>
    <t>新たに登録された結核患者の数（人）</t>
  </si>
  <si>
    <t>・最新の確定値が出ている年は病気ごとに違います（HIV/エイズと結核は2025年、梅毒とはしかは2024年）。</t>
  </si>
  <si>
    <t>・「10年前の年」は、最新の確定値の年から数えて10年分の最初の年です。</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</si>
  <si>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</si>
  <si>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</si>
  <si>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</si>
  <si>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</si>
  <si>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</si>
  <si>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</si>
  <si>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</si>
  <si>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</si>
  <si>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</si>
  <si>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</si>
  <si>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</si>
  <si>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</si>
  <si>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</si>
  <si>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</si>
  <si>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</si>
  <si>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</si>
  <si>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</si>
  <si>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</si>
  <si>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</si>
  <si>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</si>
  <si>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</si>
  <si>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</si>
  <si>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</si>
  <si>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</si>
  <si>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</si>
  <si>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</si>
  <si>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</si>
  <si>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</si>
  <si>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</si>
  <si>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</si>
  <si>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</si>
  <si>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</si>
  <si>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</si>
  <si>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</si>
  <si>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</si>
  <si>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</si>
  <si>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感染症法で治療費を公費で負担するのは、入院の勧告を受けた患者（第37条）と、結核の患者（第37条の2）。どちらも健康保険が先に使われ、残りを公費で負担する（第39条）。（出典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</si>
  <si>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</si>
  <si>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</si>
  <si>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健診で自己負担が0円の人は約3割で、3万円以上かかる人も約1割いるなど、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</si>
  <si>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</si>
  <si>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</si>
  <si>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</si>
  <si>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</si>
  <si>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</si>
  <si>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</si>
  <si>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</si>
  <si>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</si>
  <si>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</si>
  <si>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</si>
  <si>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</si>
  <si>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住民税の所得割が3万3千円未満（年収約290〜400万円未満）</t>
  </si>
  <si>
    <t>住民税の所得割が3万3千円以上23万5千円未満（年収約400〜833万円未満）</t>
  </si>
  <si>
    <t>住民税の所得割が23万5千円以上（年収約833万円以上）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</si>
  <si>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</si>
  <si>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</si>
  <si>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</si>
  <si>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</si>
  <si>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</si>
  <si>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</si>
  <si>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</si>
  <si>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</si>
  <si>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</si>
  <si>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</si>
  <si>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</si>
  <si>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</si>
  <si>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</si>
  <si>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</si>
  <si>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</si>
  <si>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</si>
  <si>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</si>
  <si>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</si>
  <si>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</si>
  <si>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住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</si>
  <si>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</si>
  <si>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</si>
  <si>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</si>
  <si>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</si>
  <si>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</si>
  <si>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</si>
  <si>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</si>
  <si>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</si>
  <si>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</si>
  <si>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</si>
  <si>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</si>
  <si>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対象年・時点</t>
  </si>
  <si>
    <t>数字の種類</t>
  </si>
  <si>
    <t>対象</t>
  </si>
  <si>
    <t>範囲</t>
  </si>
  <si>
    <t>負担</t>
  </si>
  <si>
    <t>注・計算式・探した資料</t>
  </si>
  <si>
    <t>共通</t>
  </si>
  <si>
    <t>国民1人当たりの医療費（全体）</t>
  </si>
  <si>
    <t>円/年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</si>
  <si>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</si>
  <si>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</si>
  <si>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</si>
  <si>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</si>
  <si>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</si>
  <si>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</si>
  <si>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</si>
  <si>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</si>
  <si>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</si>
  <si>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</si>
  <si>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</si>
  <si>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</si>
  <si>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感染症法による公費負担の額は、この表では単独で出ていない（表の「その他」1兆1,379億円は、母子保健法・児童福祉法などによる医療費と地方の単独事業の医療費）。</t>
  </si>
  <si>
    <t>初診料・再診料（外来の基本料）</t>
  </si>
  <si>
    <t>円/回（初診）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</si>
  <si>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</si>
  <si>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</si>
  <si>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</si>
  <si>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</si>
  <si>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</si>
  <si>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</si>
  <si>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</si>
  <si>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</si>
  <si>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</si>
  <si>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</si>
  <si>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</si>
  <si>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</si>
  <si>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</si>
  <si>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</si>
  <si>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</si>
  <si>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</si>
  <si>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</si>
  <si>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</si>
  <si>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</si>
  <si>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</si>
  <si>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</si>
  <si>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</si>
  <si>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</si>
  <si>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</si>
  <si>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</si>
  <si>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</si>
  <si>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</si>
  <si>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</si>
  <si>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</si>
  <si>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</si>
  <si>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</si>
  <si>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</si>
  <si>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</si>
  <si>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</si>
  <si>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</si>
  <si>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</si>
  <si>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</si>
  <si>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</si>
  <si>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</si>
  <si>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</si>
  <si>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</si>
  <si>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</si>
  <si>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</si>
  <si>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</si>
  <si>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</si>
  <si>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</si>
  <si>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</si>
  <si>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</si>
  <si>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</si>
  <si>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</si>
  <si>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</si>
  <si>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</si>
  <si>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</si>
  <si>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</si>
  <si>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</si>
  <si>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</si>
  <si>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</si>
  <si>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</si>
  <si>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</si>
  <si>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</si>
  <si>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</si>
  <si>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</si>
  <si>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</si>
  <si>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</si>
  <si>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</si>
  <si>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</si>
  <si>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</si>
  <si>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</si>
  <si>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</si>
  <si>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</si>
  <si>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</si>
  <si>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</si>
  <si>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</si>
  <si>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</si>
  <si>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</si>
  <si>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</si>
  <si>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</si>
  <si>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</si>
  <si>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</si>
  <si>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</si>
  <si>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</si>
  <si>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</si>
  <si>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</si>
  <si>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</si>
  <si>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</si>
  <si>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</si>
  <si>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</si>
  <si>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</si>
  <si>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</si>
  <si>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</si>
  <si>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</si>
  <si>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</si>
  <si>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</si>
  <si>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</si>
  <si>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</si>
  <si>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</si>
  <si>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</si>
  <si>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</si>
  <si>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</si>
  <si>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</si>
  <si>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</si>
  <si>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</si>
  <si>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</si>
  <si>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</si>
  <si>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</si>
  <si>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</si>
  <si>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</si>
  <si>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</si>
  <si>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</si>
  <si>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</si>
  <si>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</si>
  <si>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</si>
  <si>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</si>
  <si>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</si>
  <si>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</si>
  <si>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</si>
  <si>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</si>
  <si>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</si>
  <si>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</si>
  <si>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</si>
  <si>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</si>
  <si>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</si>
  <si>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</si>
  <si>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</si>
  <si>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</si>
  <si>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</si>
  <si>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</si>
  <si>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</si>
  <si>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</si>
  <si>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</si>
  <si>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</si>
  <si>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</si>
  <si>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</si>
  <si>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</si>
  <si>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</si>
  <si>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</si>
  <si>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</si>
  <si>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</si>
  <si>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</si>
  <si>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</si>
  <si>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</si>
  <si>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</si>
  <si>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</si>
  <si>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</si>
  <si>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</si>
  <si>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</si>
  <si>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</si>
  <si>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</si>
  <si>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</si>
  <si>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</si>
  <si>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</si>
  <si>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</si>
  <si>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</si>
  <si>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</si>
  <si>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</si>
  <si>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</si>
  <si>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</si>
  <si>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</si>
  <si>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</si>
  <si>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</si>
  <si>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</si>
  <si>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</si>
  <si>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</si>
  <si>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</si>
  <si>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</si>
  <si>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</si>
  <si>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</si>
  <si>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</si>
  <si>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</si>
  <si>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</si>
  <si>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</si>
  <si>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</si>
  <si>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</si>
  <si>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</si>
  <si>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</si>
  <si>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</si>
  <si>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</si>
  <si>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</si>
  <si>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</si>
  <si>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</si>
  <si>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</si>
  <si>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</si>
  <si>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</si>
  <si>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</si>
  <si>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</si>
  <si>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</si>
  <si>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</si>
  <si>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</si>
  <si>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</si>
  <si>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</si>
  <si>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</si>
  <si>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</si>
  <si>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</si>
  <si>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</si>
  <si>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</si>
  <si>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</si>
  <si>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</si>
  <si>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</si>
  <si>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</si>
  <si>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</si>
  <si>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</si>
  <si>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</si>
  <si>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</si>
  <si>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</si>
  <si>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</si>
  <si>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</si>
  <si>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</si>
  <si>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</si>
  <si>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</si>
  <si>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原則0円。世帯の住民税（所得割）の合計が56万4千円を超える場合だけ、1か月2万円までの自己負担（東京都のページで確認）。</t>
  </si>
  <si>
    <t>結核の医療費の国の予算（感染症法第37条・第37条の2）</t>
  </si>
  <si>
    <t>入院の勧告による入院（国が4分の3）と、通院などの一般の治療（国が2分の1）</t>
  </si>
  <si>
    <t>国が出す分だけ（結核医療費）。都道府県などが出す分は含まない。</t>
  </si>
  <si>
    <t>予算額であり実績ではない。入院と通院の内訳が分からないため、都道府県分を含めた公費の総額は計算できない。</t>
  </si>
  <si>
    <t>費用-23・費用-13</t>
  </si>
  <si>
    <t>感染症法第37条・第37条の2の公費負担の実績額</t>
  </si>
  <si>
    <t>結核患者</t>
  </si>
  <si>
    <t>都道府県などが実際に負担した額</t>
  </si>
  <si>
    <t>探した資料：国民医療費（公費負担医療給付分の内訳は「その他」に含まれ、感染症法単独では出ていない）、厚生労働省の予算資料（予算額のみ）、行政事業レビュー（2015年度以前のシートのみ見つかった）。</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</si>
  <si>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</si>
  <si>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</si>
  <si>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</si>
  <si>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</si>
  <si>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</si>
  <si>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</si>
  <si>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</si>
  <si>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</si>
  <si>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</si>
  <si>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</si>
  <si>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</si>
  <si>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</si>
  <si>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</si>
  <si>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</si>
  <si>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</si>
  <si>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</si>
  <si>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</si>
  <si>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</si>
  <si>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</si>
  <si>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</si>
  <si>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</si>
  <si>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</si>
  <si>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</si>
  <si>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</si>
  <si>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</si>
  <si>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</si>
  <si>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</si>
  <si>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</si>
  <si>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</si>
  <si>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</si>
  <si>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</si>
  <si>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</si>
  <si>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</si>
  <si>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</si>
  <si>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</si>
  <si>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</si>
  <si>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</si>
  <si>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</si>
  <si>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</si>
  <si>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</si>
  <si>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遅い時期の梅毒の人（WHOの説明で週1回・3回）</t>
  </si>
  <si>
    <t>回数はWHOの説明による目安。／計算：10,025円 × 3回 = 30,075円</t>
  </si>
  <si>
    <t>アモキシシリン250mg（飲み薬1カプセル・1錠）の薬価</t>
  </si>
  <si>
    <t>円/カプセル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</si>
  <si>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</si>
  <si>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</si>
  <si>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</si>
  <si>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</si>
  <si>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</si>
  <si>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</si>
  <si>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</si>
  <si>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</si>
  <si>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</si>
  <si>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</si>
  <si>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</si>
  <si>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</si>
  <si>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</si>
  <si>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</si>
  <si>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</si>
  <si>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</si>
  <si>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同じ資料の別のページでは全国平均11.0万円（最低8.0万円〜最高13.6万円）。自己負担は約3割の人が0円、約1割の人が3万円以上。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</si>
  <si>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</si>
  <si>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</si>
  <si>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</si>
  <si>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</si>
  <si>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</si>
  <si>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</si>
  <si>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</si>
  <si>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</si>
  <si>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</si>
  <si>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</si>
  <si>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</si>
  <si>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</si>
  <si>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</si>
  <si>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</si>
  <si>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</si>
  <si>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</si>
  <si>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</si>
  <si>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</si>
  <si>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</si>
  <si>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</si>
  <si>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</si>
  <si>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</si>
  <si>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</si>
  <si>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</si>
  <si>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</si>
  <si>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</si>
  <si>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</si>
  <si>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</si>
  <si>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</si>
  <si>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</si>
  <si>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</si>
  <si>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</si>
  <si>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</si>
  <si>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</si>
  <si>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</si>
  <si>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</si>
  <si>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</si>
  <si>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</si>
  <si>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</si>
  <si>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</si>
  <si>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</si>
  <si>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</si>
  <si>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</si>
  <si>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</si>
  <si>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</si>
  <si>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</si>
  <si>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</si>
  <si>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</si>
  <si>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</si>
  <si>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</si>
  <si>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</si>
  <si>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</si>
  <si>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"住民税の所得割が3万3千円未満（中間所得1）", "1か月の上限（円）": 5000}, {"所得区分": "住民税の所得割が3万3千円以上23万5千円未満（中間所得2）", "1か月の上限（円）": 10000}, {"所得区分": "住民税の所得割が23万5千円以上（一定所得以上）",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</si>
  <si>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"原則0円。世帯の住民税（所得割）の合計が56万4千円を超える場合は1か月2万円まで",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</si>
  <si>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多くの市町村では無料ですが、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</si>
  <si>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</si>
  <si>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家族の分の合算、多数回（4回目から上限が下がる）、令和8年8月からの年間上限（8月〜翌年7月）、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</si>
  <si>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</si>
  <si>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年間上限・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</si>
  <si>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</si>
  <si>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</si>
  <si>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</si>
  <si>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"本人負担＝0円（世帯の住民税の所得割の合計が56万4千円を超えるときは、残りのうち1か月2万円まで）。",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多数回・年間上限は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</si>
  <si>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</si>
  <si>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</si>
  <si>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</si>
  <si>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年間上限・多数回・世帯での合算・入院中の食事代は、条件が複雑なため簡略化する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</si>
  <si>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</si>
  <si>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</si>
  <si>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</si>
  <si>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</si>
  <si>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</si>
  <si>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</si>
  <si>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</si>
  <si>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</si>
  <si>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</si>
  <si>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</si>
  <si>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</si>
  <si>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</si>
  <si>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</si>
  <si>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</si>
  <si>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</si>
  <si>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</si>
  <si>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</si>
  <si>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</si>
  <si>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</si>
  <si>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</si>
  <si>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</si>
  <si>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</si>
  <si>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</si>
  <si>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</si>
  <si>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</si>
  <si>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</si>
  <si>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</si>
  <si>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</si>
  <si>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</si>
  <si>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</si>
  <si>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</si>
  <si>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</si>
  <si>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</si>
  <si>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</si>
  <si>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</si>
  <si>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</si>
  <si>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</si>
  <si>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</si>
  <si>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</si>
  <si>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</si>
  <si>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</si>
  <si>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</si>
  <si>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</si>
  <si>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</si>
  <si>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</si>
  <si>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</si>
  <si>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</si>
  <si>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</si>
  <si>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</si>
  <si>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</si>
  <si>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</si>
  <si>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</si>
  <si>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</si>
  <si>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</si>
  <si>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</si>
  <si>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</si>
  <si>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</si>
  <si>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</si>
  <si>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</si>
  <si>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</si>
  <si>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</si>
  <si>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</si>
  <si>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</si>
  <si>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</si>
  <si>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</si>
  <si>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</si>
  <si>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</si>
  <si>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</si>
  <si>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</si>
  <si>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</si>
  <si>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</si>
  <si>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</si>
  <si>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</si>
  <si>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</si>
  <si>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</si>
  <si>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</si>
  <si>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</si>
  <si>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</si>
  <si>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</si>
  <si>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</si>
  <si>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</si>
  <si>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</si>
  <si>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</si>
  <si>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</si>
  <si>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</si>
  <si>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</si>
  <si>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</si>
  <si>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</si>
  <si>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</si>
  <si>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</si>
  <si>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</si>
  <si>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</si>
  <si>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</si>
  <si>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</si>
  <si>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</si>
  <si>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</si>
  <si>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</si>
  <si>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</si>
  <si>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</si>
  <si>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</si>
  <si>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</si>
  <si>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</si>
  <si>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</si>
  <si>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</si>
  <si>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</si>
  <si>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</si>
  <si>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</si>
  <si>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</si>
  <si>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</si>
  <si>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</si>
  <si>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</si>
  <si>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</si>
  <si>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</si>
  <si>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</si>
  <si>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</si>
  <si>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</si>
  <si>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</si>
  <si>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</si>
  <si>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</si>
  <si>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</si>
  <si>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</si>
  <si>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</si>
  <si>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</si>
  <si>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</si>
  <si>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</si>
  <si>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</si>
  <si>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</si>
  <si>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</si>
  <si>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</si>
  <si>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</si>
  <si>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</si>
  <si>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</si>
  <si>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</si>
  <si>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</si>
  <si>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</si>
  <si>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</si>
  <si>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</si>
  <si>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</si>
  <si>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</si>
  <si>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</si>
  <si>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</si>
  <si>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</si>
  <si>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</si>
  <si>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</si>
  <si>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</si>
  <si>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</si>
  <si>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</si>
  <si>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</si>
  <si>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</si>
  <si>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</si>
  <si>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</si>
  <si>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</si>
  <si>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</si>
  <si>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</si>
  <si>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</si>
  <si>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</si>
  <si>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</si>
  <si>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</si>
  <si>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</si>
  <si>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</si>
  <si>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</si>
  <si>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</si>
  <si>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</si>
  <si>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</si>
  <si>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</si>
  <si>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</si>
  <si>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</si>
  <si>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</si>
  <si>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</si>
  <si>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梅毒-1</t>
  </si>
  <si>
    <t>梅毒-8</t>
  </si>
  <si>
    <t>2026年1月〜10月11日（第41週まで）</t>
  </si>
  <si>
    <t>梅毒-5</t>
  </si>
  <si>
    <t>期間のくわしい説明：2026年第41週（〜2026-10-11）まで（2026-10-14集計）</t>
  </si>
  <si>
    <t>男女別（2024年）</t>
  </si>
  <si>
    <t>梅毒-3</t>
  </si>
  <si>
    <t>年代別（2024年）</t>
  </si>
  <si>
    <t>0歳</t>
  </si>
  <si>
    <t>1-4歳</t>
  </si>
  <si>
    <t>5-9歳</t>
  </si>
  <si>
    <t>60-64歳</t>
  </si>
  <si>
    <t>65-69歳</t>
  </si>
  <si>
    <t>70歳以上</t>
  </si>
  <si>
    <t>都道府県別 上位5（2024年、人数の多い順）</t>
  </si>
  <si>
    <t>人数</t>
  </si>
  <si>
    <t>人口10万対</t>
  </si>
  <si>
    <t>資料になし</t>
  </si>
  <si>
    <t>病型別（2024年・確定）</t>
  </si>
  <si>
    <t>早期顕症梅毒Ⅰ期</t>
  </si>
  <si>
    <t>梅毒-2</t>
  </si>
  <si>
    <t>早期顕症梅毒Ⅱ期</t>
  </si>
  <si>
    <t>晩期顕症梅毒</t>
  </si>
  <si>
    <t>無症候（症状のない感染）</t>
  </si>
  <si>
    <t>先天梅毒</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</si>
  <si>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</si>
  <si>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</si>
  <si>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</si>
  <si>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</si>
  <si>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</si>
  <si>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</si>
  <si>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</si>
  <si>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</si>
  <si>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</si>
  <si>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</si>
  <si>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</si>
  <si>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</si>
  <si>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</si>
  <si>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</si>
  <si>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</si>
  <si>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</si>
  <si>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</si>
  <si>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</si>
  <si>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</si>
  <si>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</si>
  <si>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</si>
  <si>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</si>
  <si>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</si>
  <si>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</si>
  <si>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</si>
  <si>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</si>
  <si>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</si>
  <si>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</si>
  <si>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</si>
  <si>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</si>
  <si>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</si>
  <si>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</si>
  <si>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</si>
  <si>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</si>
  <si>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</si>
  <si>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</si>
  <si>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</si>
  <si>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</si>
  <si>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</si>
  <si>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</si>
  <si>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</si>
  <si>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</si>
  <si>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</si>
  <si>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</si>
  <si>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</si>
  <si>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</si>
  <si>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</si>
  <si>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</si>
  <si>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</si>
  <si>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</si>
  <si>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</si>
  <si>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</si>
  <si>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</si>
  <si>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</si>
  <si>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</si>
  <si>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</si>
  <si>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</si>
  <si>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</si>
  <si>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</si>
  <si>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</si>
  <si>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</si>
  <si>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</si>
  <si>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</si>
  <si>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</si>
  <si>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</si>
  <si>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</si>
  <si>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</si>
  <si>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</si>
  <si>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</si>
  <si>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</si>
  <si>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</si>
  <si>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</si>
  <si>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</si>
  <si>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</si>
  <si>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</si>
  <si>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</si>
  <si>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</si>
  <si>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</si>
  <si>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</si>
  <si>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</si>
  <si>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</si>
  <si>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</si>
  <si>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</si>
  <si>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</si>
  <si>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</si>
  <si>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</si>
  <si>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</si>
  <si>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</si>
  <si>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2019年一部改正）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</si>
  <si>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</si>
  <si>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</si>
  <si>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</si>
  <si>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</si>
  <si>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</si>
  <si>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</si>
  <si>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</si>
  <si>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</si>
  <si>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</si>
  <si>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</si>
  <si>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</si>
  <si>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</si>
  <si>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</si>
  <si>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</si>
  <si>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</si>
  <si>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</si>
  <si>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</si>
  <si>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</si>
  <si>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</si>
  <si>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</si>
  <si>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</si>
  <si>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</si>
  <si>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</si>
  <si>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</si>
  <si>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</si>
  <si>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</si>
  <si>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</si>
  <si>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</si>
  <si>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</si>
  <si>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</si>
  <si>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</si>
  <si>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</si>
  <si>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</si>
  <si>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</si>
  <si>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</si>
  <si>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</si>
  <si>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</si>
  <si>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</si>
  <si>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</si>
  <si>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</si>
  <si>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</si>
  <si>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</si>
  <si>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</si>
  <si>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</si>
  <si>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</si>
  <si>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</si>
  <si>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</si>
  <si>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</si>
  <si>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</si>
  <si>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</si>
  <si>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</si>
  <si>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</si>
  <si>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</si>
  <si>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</si>
  <si>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</si>
  <si>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</si>
  <si>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</si>
  <si>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</si>
  <si>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</si>
  <si>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</si>
  <si>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</si>
  <si>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</si>
  <si>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</si>
  <si>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</si>
  <si>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</si>
  <si>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</si>
  <si>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</si>
  <si>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</si>
  <si>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</si>
  <si>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</si>
  <si>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</si>
  <si>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</si>
  <si>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</si>
  <si>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</si>
  <si>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</si>
  <si>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</si>
  <si>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</si>
  <si>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</si>
  <si>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</si>
  <si>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</si>
  <si>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</si>
  <si>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</si>
  <si>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</si>
  <si>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</si>
  <si>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</si>
  <si>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</si>
  <si>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</si>
  <si>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</si>
  <si>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</si>
  <si>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</si>
  <si>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</si>
  <si>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</si>
  <si>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</si>
  <si>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</si>
  <si>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</si>
  <si>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</si>
  <si>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</si>
  <si>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</si>
  <si>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</si>
  <si>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</si>
  <si>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</si>
  <si>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</si>
  <si>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</si>
  <si>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</si>
  <si>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</si>
  <si>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</si>
  <si>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</si>
  <si>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</si>
  <si>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</si>
  <si>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</si>
  <si>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</si>
  <si>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</si>
  <si>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</si>
  <si>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</si>
  <si>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</si>
  <si>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</si>
  <si>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</si>
  <si>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</si>
  <si>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</si>
  <si>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</si>
  <si>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</si>
  <si>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</si>
  <si>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</si>
  <si>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</si>
  <si>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</si>
  <si>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</si>
  <si>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</si>
  <si>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</si>
  <si>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</si>
  <si>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</si>
  <si>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</si>
  <si>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</si>
  <si>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</si>
  <si>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</si>
  <si>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</si>
  <si>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</si>
  <si>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</si>
  <si>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</si>
  <si>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</si>
  <si>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</si>
  <si>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</si>
  <si>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</si>
  <si>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</si>
  <si>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</si>
  <si>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</si>
  <si>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</si>
  <si>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</si>
  <si>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</si>
  <si>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</si>
  <si>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</si>
  <si>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</si>
  <si>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</si>
  <si>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</si>
  <si>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</si>
  <si>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</si>
  <si>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</si>
  <si>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</si>
  <si>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</si>
  <si>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</si>
  <si>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</si>
  <si>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</si>
  <si>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</si>
  <si>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</si>
  <si>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</si>
  <si>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</si>
  <si>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</si>
  <si>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</si>
  <si>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</si>
  <si>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</si>
  <si>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</si>
  <si>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</si>
  <si>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</si>
  <si>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</si>
  <si>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</si>
  <si>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</si>
  <si>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</si>
  <si>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</si>
  <si>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</si>
  <si>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</si>
  <si>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</si>
  <si>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</si>
  <si>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</si>
  <si>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</si>
  <si>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</si>
  <si>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</si>
  <si>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</si>
  <si>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</si>
  <si>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</si>
  <si>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</si>
  <si>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</si>
  <si>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</si>
  <si>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</si>
  <si>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</si>
  <si>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</si>
  <si>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</si>
  <si>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</si>
  <si>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</si>
  <si>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</si>
  <si>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</si>
  <si>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</si>
  <si>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</si>
  <si>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</si>
  <si>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</si>
  <si>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</si>
  <si>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</si>
  <si>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</si>
  <si>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</si>
  <si>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</si>
  <si>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</si>
  <si>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</si>
  <si>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</si>
  <si>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</si>
  <si>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</si>
  <si>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</si>
  <si>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</si>
  <si>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</si>
  <si>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</si>
  <si>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</si>
  <si>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</si>
  <si>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</si>
  <si>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</si>
  <si>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</si>
  <si>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</si>
  <si>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</si>
  <si>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</si>
  <si>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</si>
  <si>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</si>
  <si>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</si>
  <si>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</si>
  <si>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</si>
  <si>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</si>
  <si>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</si>
  <si>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</si>
  <si>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</si>
  <si>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</si>
  <si>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</si>
  <si>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</si>
  <si>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</si>
  <si>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</si>
  <si>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</si>
  <si>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</si>
  <si>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</si>
  <si>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</si>
  <si>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</si>
  <si>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</si>
  <si>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</si>
  <si>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</si>
  <si>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</si>
  <si>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</si>
  <si>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</si>
  <si>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</si>
  <si>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</si>
  <si>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</si>
  <si>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</si>
  <si>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</si>
  <si>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</si>
  <si>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</si>
  <si>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</si>
  <si>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</si>
  <si>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</si>
  <si>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</si>
  <si>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</si>
  <si>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</si>
  <si>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</si>
  <si>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</si>
  <si>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</si>
  <si>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</si>
  <si>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</si>
  <si>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</si>
  <si>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</si>
  <si>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</si>
  <si>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</si>
  <si>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</si>
  <si>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</si>
  <si>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</si>
  <si>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</si>
  <si>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</si>
  <si>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</si>
  <si>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</si>
  <si>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</si>
  <si>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</si>
  <si>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</si>
  <si>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</si>
  <si>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</si>
  <si>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</si>
  <si>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</si>
  <si>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</si>
  <si>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</si>
  <si>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</si>
  <si>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</si>
  <si>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</si>
  <si>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</si>
  <si>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</si>
  <si>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</si>
  <si>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</si>
  <si>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</si>
  <si>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</si>
  <si>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</si>
  <si>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</si>
  <si>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</si>
  <si>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</si>
  <si>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</si>
  <si>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</si>
  <si>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</si>
  <si>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</si>
  <si>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</si>
  <si>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</si>
  <si>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</si>
  <si>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</si>
  <si>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</si>
  <si>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</si>
  <si>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</si>
  <si>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</si>
  <si>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</si>
  <si>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</si>
  <si>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</si>
  <si>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</si>
  <si>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</si>
  <si>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</si>
  <si>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</si>
  <si>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</si>
  <si>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</si>
  <si>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</si>
  <si>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</si>
  <si>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</si>
  <si>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</si>
  <si>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</si>
  <si>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</si>
  <si>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</si>
  <si>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</si>
  <si>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</si>
  <si>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</si>
  <si>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</si>
  <si>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</si>
  <si>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</si>
  <si>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</si>
  <si>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</si>
  <si>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</si>
  <si>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</si>
  <si>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</si>
  <si>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</si>
  <si>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</si>
  <si>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</si>
  <si>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</si>
  <si>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</si>
  <si>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</si>
  <si>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</si>
  <si>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</si>
  <si>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</si>
  <si>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</si>
  <si>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</si>
  <si>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</si>
  <si>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</si>
  <si>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</si>
  <si>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</si>
  <si>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</si>
  <si>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</si>
  <si>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</si>
  <si>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</si>
  <si>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</si>
  <si>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</si>
  <si>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</si>
  <si>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</si>
  <si>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</si>
  <si>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</si>
  <si>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</si>
  <si>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</si>
  <si>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</si>
  <si>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</si>
  <si>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</si>
  <si>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</si>
  <si>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</si>
  <si>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</si>
  <si>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</si>
  <si>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</si>
  <si>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</si>
  <si>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</si>
  <si>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</si>
  <si>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</si>
  <si>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</si>
  <si>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</si>
  <si>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</si>
  <si>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</si>
  <si>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</si>
  <si>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</si>
  <si>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</si>
  <si>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</si>
  <si>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</si>
  <si>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</si>
  <si>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</si>
  <si>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</si>
  <si>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</si>
  <si>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</si>
  <si>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</si>
  <si>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</si>
  <si>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</si>
  <si>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</si>
  <si>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</si>
  <si>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</si>
  <si>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</si>
  <si>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</si>
  <si>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</si>
  <si>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</si>
  <si>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</si>
  <si>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</si>
  <si>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</si>
  <si>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</si>
  <si>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</si>
  <si>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</si>
  <si>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</si>
  <si>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</si>
  <si>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</si>
  <si>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</si>
  <si>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</si>
  <si>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</si>
  <si>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</si>
  <si>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</si>
  <si>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</si>
  <si>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</si>
  <si>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</si>
  <si>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</si>
  <si>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</si>
  <si>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</si>
  <si>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</si>
  <si>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</si>
  <si>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</si>
  <si>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</si>
  <si>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</si>
  <si>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</si>
  <si>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</si>
  <si>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</si>
  <si>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</si>
  <si>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</si>
  <si>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</si>
  <si>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</si>
  <si>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</si>
  <si>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</si>
  <si>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</si>
  <si>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</si>
  <si>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</si>
  <si>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</si>
  <si>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</si>
  <si>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</si>
  <si>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</si>
  <si>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</si>
  <si>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</si>
  <si>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</si>
  <si>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</si>
  <si>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</si>
  <si>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</si>
  <si>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</si>
  <si>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</si>
  <si>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</si>
  <si>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</si>
  <si>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</si>
  <si>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</si>
  <si>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</si>
  <si>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</si>
  <si>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</si>
  <si>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</si>
  <si>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</si>
  <si>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</si>
  <si>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</si>
  <si>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</si>
  <si>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</si>
  <si>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</si>
  <si>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</si>
  <si>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</si>
  <si>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</si>
  <si>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</si>
  <si>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</si>
  <si>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</si>
  <si>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</si>
  <si>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</si>
  <si>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</si>
  <si>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</si>
  <si>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</si>
  <si>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</si>
  <si>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</si>
  <si>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</si>
  <si>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</si>
  <si>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</si>
  <si>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</si>
  <si>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</si>
  <si>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</si>
  <si>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</si>
  <si>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</si>
  <si>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</si>
  <si>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</si>
  <si>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</si>
  <si>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</si>
  <si>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</si>
  <si>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</si>
  <si>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</si>
  <si>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</si>
  <si>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</si>
  <si>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</si>
  <si>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</si>
  <si>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</si>
  <si>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</si>
  <si>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</si>
  <si>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</si>
  <si>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</si>
  <si>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</si>
  <si>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</si>
  <si>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</si>
  <si>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</si>
  <si>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</si>
  <si>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</si>
  <si>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</si>
  <si>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</si>
  <si>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</si>
  <si>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</si>
  <si>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</si>
  <si>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</si>
  <si>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</si>
  <si>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</si>
  <si>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</si>
  <si>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</si>
  <si>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</si>
  <si>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</si>
  <si>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</si>
  <si>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</si>
  <si>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</si>
  <si>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</si>
  <si>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</si>
  <si>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</si>
  <si>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</si>
  <si>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</si>
  <si>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</si>
  <si>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</si>
  <si>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</si>
  <si>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</si>
  <si>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</si>
  <si>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</si>
  <si>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</si>
  <si>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</si>
  <si>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</si>
  <si>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</si>
  <si>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</si>
  <si>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</si>
  <si>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</si>
  <si>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</si>
  <si>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</si>
  <si>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</si>
  <si>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</si>
  <si>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</si>
  <si>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</si>
  <si>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</si>
  <si>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</si>
  <si>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</si>
  <si>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</si>
  <si>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</si>
  <si>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</si>
  <si>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</si>
  <si>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</si>
  <si>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</si>
  <si>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</si>
  <si>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</si>
  <si>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</si>
  <si>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</si>
  <si>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</si>
  <si>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</si>
  <si>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</si>
  <si>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</si>
  <si>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</si>
  <si>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</si>
  <si>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</si>
  <si>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</si>
  <si>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</si>
  <si>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</si>
  <si>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</si>
  <si>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</si>
  <si>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</si>
  <si>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</si>
  <si>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</si>
  <si>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</si>
  <si>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</si>
  <si>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</si>
  <si>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</si>
  <si>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</si>
  <si>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</si>
  <si>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</si>
  <si>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</si>
  <si>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前年比や「10年前と比べて何倍か」などは、資料の数字からこのまとめで計算したものです。</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</si>
  <si>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</si>
  <si>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</si>
  <si>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</si>
  <si>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</si>
  <si>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</si>
  <si>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</si>
  <si>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</si>
  <si>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</si>
  <si>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</si>
  <si>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</si>
  <si>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</si>
  <si>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</si>
  <si>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</si>
  <si>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</si>
  <si>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</si>
  <si>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</si>
  <si>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</si>
  <si>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</si>
  <si>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</si>
  <si>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</si>
  <si>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</si>
  <si>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</si>
  <si>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</si>
  <si>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</si>
  <si>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</si>
  <si>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</si>
  <si>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</si>
  <si>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</si>
  <si>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</si>
  <si>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</si>
  <si>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</si>
  <si>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</si>
  <si>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</si>
  <si>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</si>
  <si>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</si>
  <si>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</si>
  <si>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</si>
  <si>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</si>
  <si>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</si>
  <si>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</si>
  <si>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</si>
  <si>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</si>
  <si>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</si>
  <si>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</si>
  <si>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</si>
  <si>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</si>
  <si>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</si>
  <si>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</si>
  <si>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</si>
  <si>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</si>
  <si>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</si>
  <si>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</si>
  <si>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</si>
  <si>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</si>
  <si>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</si>
  <si>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</si>
  <si>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</si>
  <si>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</si>
  <si>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</si>
  <si>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</si>
  <si>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</si>
  <si>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</si>
  <si>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</si>
  <si>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</si>
  <si>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</si>
  <si>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</si>
  <si>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</si>
  <si>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</si>
  <si>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</si>
  <si>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</si>
  <si>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</si>
  <si>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</si>
  <si>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</si>
  <si>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</si>
  <si>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</si>
  <si>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</si>
  <si>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</si>
  <si>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</si>
  <si>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</si>
  <si>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</si>
  <si>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</si>
  <si>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</si>
  <si>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</si>
  <si>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</si>
  <si>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</si>
  <si>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</si>
  <si>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</si>
  <si>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</si>
  <si>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</si>
  <si>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</si>
  <si>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</si>
  <si>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</si>
  <si>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</si>
  <si>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</si>
  <si>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</si>
  <si>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</si>
  <si>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</si>
  <si>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</si>
  <si>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</si>
  <si>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</si>
  <si>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</si>
  <si>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</si>
  <si>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</si>
  <si>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</si>
  <si>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</si>
  <si>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</si>
  <si>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</si>
  <si>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</si>
  <si>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</si>
  <si>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</si>
  <si>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</si>
  <si>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</si>
  <si>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</si>
  <si>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</si>
  <si>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</si>
  <si>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</si>
  <si>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</si>
  <si>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</si>
  <si>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</si>
  <si>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</si>
  <si>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</si>
  <si>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</si>
  <si>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</si>
  <si>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</si>
  <si>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</si>
  <si>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</si>
  <si>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</si>
  <si>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</si>
  <si>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</si>
  <si>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</si>
  <si>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</si>
  <si>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</si>
  <si>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</si>
  <si>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2025-11-10（指針の改正日）</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</si>
  <si>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</si>
  <si>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</si>
  <si>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</si>
  <si>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</si>
  <si>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</si>
  <si>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</si>
  <si>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</si>
  <si>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</si>
  <si>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</si>
  <si>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</si>
  <si>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</si>
  <si>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</si>
  <si>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</si>
  <si>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</si>
  <si>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</si>
  <si>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</si>
  <si>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</si>
  <si>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</si>
  <si>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</si>
  <si>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</si>
  <si>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</si>
  <si>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</si>
  <si>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</si>
  <si>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</si>
  <si>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</si>
  <si>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</si>
  <si>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</si>
  <si>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</si>
  <si>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</si>
  <si>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</si>
  <si>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</si>
  <si>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</si>
  <si>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</si>
  <si>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</si>
  <si>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</si>
  <si>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</si>
  <si>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</si>
  <si>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</si>
  <si>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</si>
  <si>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</si>
  <si>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</si>
  <si>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</si>
  <si>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</si>
  <si>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</si>
  <si>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</si>
  <si>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</si>
  <si>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</si>
  <si>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</si>
  <si>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</si>
  <si>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</si>
  <si>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</si>
  <si>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</si>
  <si>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麻しんに関する特定感染症予防指針（平成19年12月28日、平成31年4月19日一部改正・適用）</t>
  </si>
  <si>
    <t>https://www.mhlw.go.jp/content/000503060.pdf</t>
  </si>
  <si>
    <t>2019-04-19（一部改正）</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</si>
  <si>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</si>
  <si>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</si>
  <si>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</si>
  <si>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</si>
  <si>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</si>
  <si>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</si>
  <si>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</si>
  <si>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</si>
  <si>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</si>
  <si>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</si>
  <si>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</si>
  <si>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</si>
  <si>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</si>
  <si>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</si>
  <si>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</si>
  <si>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</si>
  <si>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</si>
  <si>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</si>
  <si>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</si>
  <si>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</si>
  <si>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</si>
  <si>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</si>
  <si>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</si>
  <si>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</si>
  <si>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</si>
  <si>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</si>
  <si>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</si>
  <si>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</si>
  <si>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</si>
  <si>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</si>
  <si>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</si>
  <si>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</si>
  <si>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</si>
  <si>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</si>
  <si>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</si>
  <si>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</si>
  <si>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</si>
  <si>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</si>
  <si>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</si>
  <si>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</si>
  <si>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</si>
  <si>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</si>
  <si>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</si>
  <si>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</si>
  <si>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</si>
  <si>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</si>
  <si>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</si>
  <si>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</si>
  <si>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</si>
  <si>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</si>
  <si>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</si>
  <si>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</si>
  <si>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</si>
  <si>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</si>
  <si>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</si>
  <si>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</si>
  <si>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</si>
  <si>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</si>
  <si>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</si>
  <si>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</si>
  <si>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</si>
  <si>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</si>
  <si>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</si>
  <si>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</si>
  <si>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</si>
  <si>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</si>
  <si>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</si>
  <si>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</si>
  <si>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</si>
  <si>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</si>
  <si>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</si>
  <si>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</si>
  <si>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</si>
  <si>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</si>
  <si>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</si>
  <si>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</si>
  <si>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</si>
  <si>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</si>
  <si>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</si>
  <si>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</si>
  <si>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</si>
  <si>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</si>
  <si>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</si>
  <si>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</si>
  <si>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</si>
  <si>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</si>
  <si>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</si>
  <si>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</si>
  <si>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</si>
  <si>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</si>
  <si>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</si>
  <si>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</si>
  <si>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</si>
  <si>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</si>
  <si>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</si>
  <si>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</si>
  <si>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</si>
  <si>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</si>
  <si>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</si>
  <si>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</si>
  <si>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</si>
  <si>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</si>
  <si>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</si>
  <si>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</si>
  <si>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</si>
  <si>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</si>
  <si>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</si>
  <si>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</si>
  <si>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</si>
  <si>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</si>
  <si>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</si>
  <si>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</si>
  <si>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</si>
  <si>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</si>
  <si>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</si>
  <si>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</si>
  <si>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</si>
  <si>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</si>
  <si>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</si>
  <si>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</si>
  <si>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</si>
  <si>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</si>
  <si>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</si>
  <si>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</si>
  <si>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</si>
  <si>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</si>
  <si>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</si>
  <si>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</si>
  <si>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</si>
  <si>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</si>
  <si>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</si>
  <si>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</si>
  <si>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</si>
  <si>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</si>
  <si>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</si>
  <si>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</si>
  <si>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</si>
  <si>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</si>
  <si>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</si>
  <si>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</si>
  <si>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</si>
  <si>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</si>
  <si>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</si>
  <si>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</si>
  <si>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</si>
  <si>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</si>
  <si>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</si>
  <si>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</si>
  <si>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</si>
  <si>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</si>
  <si>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</si>
  <si>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</si>
  <si>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</si>
  <si>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</si>
  <si>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</si>
  <si>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</si>
  <si>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</si>
  <si>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</si>
  <si>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</si>
  <si>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</si>
  <si>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</si>
  <si>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</si>
  <si>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</si>
  <si>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</si>
  <si>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</si>
  <si>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</si>
  <si>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</si>
  <si>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</si>
  <si>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</si>
  <si>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</si>
  <si>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</si>
  <si>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</si>
  <si>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</si>
  <si>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</si>
  <si>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</si>
  <si>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</si>
  <si>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</si>
  <si>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</si>
  <si>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</si>
  <si>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</si>
  <si>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</si>
  <si>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</si>
  <si>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</si>
  <si>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</si>
  <si>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</si>
  <si>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</si>
  <si>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</si>
  <si>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</si>
  <si>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</si>
  <si>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</si>
  <si>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</si>
  <si>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</si>
  <si>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</si>
  <si>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</si>
  <si>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</si>
  <si>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</si>
  <si>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</si>
  <si>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</si>
  <si>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</si>
  <si>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</si>
  <si>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</si>
  <si>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</si>
  <si>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</si>
  <si>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</si>
  <si>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</si>
  <si>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</si>
  <si>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</si>
  <si>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</si>
  <si>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</si>
  <si>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制度-22</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</si>
  <si>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</si>
  <si>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</si>
  <si>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</si>
  <si>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</si>
  <si>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</si>
  <si>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</si>
  <si>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</si>
  <si>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</si>
  <si>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</si>
  <si>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</si>
  <si>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</si>
  <si>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</si>
  <si>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</si>
  <si>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</si>
  <si>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</si>
  <si>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</si>
  <si>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</si>
  <si>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</si>
  <si>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</si>
  <si>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</si>
  <si>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</si>
  <si>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</si>
  <si>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</si>
  <si>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</si>
  <si>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</si>
  <si>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</si>
  <si>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</si>
  <si>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</si>
  <si>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</si>
  <si>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</si>
  <si>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</si>
  <si>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</si>
  <si>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</si>
  <si>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</si>
  <si>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</si>
  <si>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</si>
  <si>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</si>
  <si>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</si>
  <si>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</si>
  <si>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</si>
  <si>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</si>
  <si>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</si>
  <si>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</si>
  <si>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</si>
  <si>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</si>
  <si>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</si>
  <si>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</si>
  <si>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</si>
  <si>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</si>
  <si>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</si>
  <si>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</si>
  <si>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</si>
  <si>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</si>
  <si>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</si>
  <si>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</si>
  <si>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</si>
  <si>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</si>
  <si>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</si>
  <si>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</si>
  <si>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</si>
  <si>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</si>
  <si>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</si>
  <si>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</si>
  <si>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</si>
  <si>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</si>
  <si>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</si>
  <si>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</si>
  <si>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</si>
  <si>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</si>
  <si>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</si>
  <si>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</si>
  <si>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</si>
  <si>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</si>
  <si>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</si>
  <si>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</si>
  <si>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</si>
  <si>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</si>
  <si>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</si>
  <si>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</si>
  <si>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</si>
  <si>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</si>
  <si>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</si>
  <si>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</si>
  <si>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</si>
  <si>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</si>
  <si>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</si>
  <si>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</si>
  <si>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</si>
  <si>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</si>
  <si>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</si>
  <si>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</si>
  <si>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</si>
  <si>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</si>
  <si>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</si>
  <si>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</si>
  <si>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</si>
  <si>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</si>
  <si>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</si>
  <si>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</si>
  <si>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</si>
  <si>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</si>
  <si>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</si>
  <si>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費用-24</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</si>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</sst>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55">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3"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3" fontId="6" fillId="0" borderId="1" xfId="0" applyNumberFormat="1" applyFont="1" applyBorder="1"/>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www.mhlw.go.jp/topics/2026/04/xls/tp20261014-01_01.xlsx"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themes/hiv-aids" TargetMode="External"/><Relationship Id="rId138" Type="http://schemas.openxmlformats.org/officeDocument/2006/relationships/hyperlink" Target="https://www.mhlw.go.jp/stf/seisakunitsuite/bunya/kenkou_iryou/syphilis_qa.html" TargetMode="External"/><Relationship Id="rId159" Type="http://schemas.openxmlformats.org/officeDocument/2006/relationships/hyperlink" Target="https://www.who.int/news-room/fact-sheets/detail/sexually-transmitted-infections-(stis)" TargetMode="External"/><Relationship Id="rId170" Type="http://schemas.openxmlformats.org/officeDocument/2006/relationships/hyperlink" Target="https://www.who.int/news-room/fact-sheets/detail/measles" TargetMode="External"/><Relationship Id="rId191" Type="http://schemas.openxmlformats.org/officeDocument/2006/relationships/hyperlink" Target="https://www.mhlw.go.jp/stf/seisakunitsuite/bunya/kenkou_iryou/kenkou/kekkaku-kansenshou/yobou-sesshu/vaccine/hepatitis-b/index.html" TargetMode="External"/><Relationship Id="rId205" Type="http://schemas.openxmlformats.org/officeDocument/2006/relationships/hyperlink" Target="https://www.mhlw.go.jp/stf/seisakunitsuite/bunya/0000120172.html" TargetMode="External"/><Relationship Id="rId107" Type="http://schemas.openxmlformats.org/officeDocument/2006/relationships/hyperlink" Target="https://www.otit.go.jp/upload/docs/300618-4.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www.hokeniryo.metro.tokyo.lg.jp/kansen/tomin/josei/joseinituite" TargetMode="External"/><Relationship Id="rId128" Type="http://schemas.openxmlformats.org/officeDocument/2006/relationships/hyperlink" Target="https://www.mhlw.go.jp/content/12400000/001665291.pdf" TargetMode="External"/><Relationship Id="rId149" Type="http://schemas.openxmlformats.org/officeDocument/2006/relationships/hyperlink" Target="https://www.mhlw.go.jp/content/001587797.pdf"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content/001469285.pdf" TargetMode="External"/><Relationship Id="rId160" Type="http://schemas.openxmlformats.org/officeDocument/2006/relationships/hyperlink" Target="https://id-info.jihs.go.jp/surveillance/idwr/idwr/2024/year-data/05/index.html" TargetMode="External"/><Relationship Id="rId181" Type="http://schemas.openxmlformats.org/officeDocument/2006/relationships/hyperlink" Target="https://www.mhlw.go.jp/content/001485302.pdf"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www.mhlw.go.jp/topics/2026/04/xls/tp20261014-01_02.xlsx" TargetMode="External"/><Relationship Id="rId139" Type="http://schemas.openxmlformats.org/officeDocument/2006/relationships/hyperlink" Target="https://www.who.int/news-room/fact-sheets/detail/syphilis" TargetMode="External"/><Relationship Id="rId85" Type="http://schemas.openxmlformats.org/officeDocument/2006/relationships/hyperlink" Target="https://www.who.int/data/gho/data/themes/topics/data-on-syphilis" TargetMode="External"/><Relationship Id="rId150" Type="http://schemas.openxmlformats.org/officeDocument/2006/relationships/hyperlink" Target="https://www.city.sapporo.jp/hokenjo/f1kansen/f04aids/u-u.html" TargetMode="External"/><Relationship Id="rId171" Type="http://schemas.openxmlformats.org/officeDocument/2006/relationships/hyperlink" Target="https://www.who.int/news/item/28-11-2025-measles-deaths-down-88--since-2000--but-cases-surge" TargetMode="External"/><Relationship Id="rId192" Type="http://schemas.openxmlformats.org/officeDocument/2006/relationships/hyperlink" Target="https://www.mhlw.go.jp/stf/seisakunitsuite/bunya/kenkou_iryou/kenkou/kekkaku-kansenshou/kanen/index.html" TargetMode="External"/><Relationship Id="rId206" Type="http://schemas.openxmlformats.org/officeDocument/2006/relationships/hyperlink" Target="https://amr.jihs.go.jp/"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moj.go.jp/isa/applications/status/student.html" TargetMode="External"/><Relationship Id="rId129" Type="http://schemas.openxmlformats.org/officeDocument/2006/relationships/hyperlink" Target="https://www.mhlw.go.jp/toukei/saikin/hw/kanja/23/dl/heikin.pdf"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mhlw.go.jp/stf/seisakunitsuite/bunya/hukushi_kaigo/shougaishahukushi/jiritsu/gaiyo.html" TargetMode="External"/><Relationship Id="rId96" Type="http://schemas.openxmlformats.org/officeDocument/2006/relationships/hyperlink" Target="https://www.mhlw.go.jp/content/001469359.pdf" TargetMode="External"/><Relationship Id="rId140" Type="http://schemas.openxmlformats.org/officeDocument/2006/relationships/hyperlink" Target="https://www.cfa.go.jp/assets/contents/node/basic_page/field_ref_resources/effb25c5-a638-4fda-8e4d-320fb344dbdb/2bf3f2f9/20260306_councils_shingikai_seiiku_iryou_effb25c5_03.pdf" TargetMode="External"/><Relationship Id="rId161" Type="http://schemas.openxmlformats.org/officeDocument/2006/relationships/hyperlink" Target="https://id-info.jihs.go.jp/surveillance/idss/target-diseases/syphilis/notification/syphilis2026q3.pdf" TargetMode="External"/><Relationship Id="rId182" Type="http://schemas.openxmlformats.org/officeDocument/2006/relationships/hyperlink" Target="https://www.mhlw.go.jp/content/10900000/001755866.pdf"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hiv-guidelines.jp/pdf/hiv_guideline2026.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unstats.un.org/unsd/methodology/m49/overview/" TargetMode="External"/><Relationship Id="rId130" Type="http://schemas.openxmlformats.org/officeDocument/2006/relationships/hyperlink" Target="https://www.mhlw.go.jp/toukei/saikin/hw/iryosd/25/dl/11gaikyou07.pdf" TargetMode="External"/><Relationship Id="rId151" Type="http://schemas.openxmlformats.org/officeDocument/2006/relationships/hyperlink" Target="https://www.unaids.org/en/resources/fact-sheet" TargetMode="External"/><Relationship Id="rId172" Type="http://schemas.openxmlformats.org/officeDocument/2006/relationships/hyperlink" Target="https://iris.who.int/server/api/core/bitstreams/8ac932cb-6d3f-4922-8335-f34d70419fe3/content" TargetMode="External"/><Relationship Id="rId193" Type="http://schemas.openxmlformats.org/officeDocument/2006/relationships/hyperlink" Target="https://id-info.jihs.go.jp/infectious-diseases/hepatitis-c/index.html" TargetMode="External"/><Relationship Id="rId207" Type="http://schemas.openxmlformats.org/officeDocument/2006/relationships/hyperlink" Target="https://www.who.int/news-room/fact-sheets/detail/antimicrobial-resistance"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laws.e-gov.go.jp/law/326CO0000000319"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97" Type="http://schemas.openxmlformats.org/officeDocument/2006/relationships/hyperlink" Target="https://www.mhlw.go.jp/content/001752086.pdf" TargetMode="External"/><Relationship Id="rId120" Type="http://schemas.openxmlformats.org/officeDocument/2006/relationships/hyperlink" Target="https://mhlw-grants.niph.go.jp/system/files/report_pdf/202220001A-sokatsu.pdf" TargetMode="External"/><Relationship Id="rId141" Type="http://schemas.openxmlformats.org/officeDocument/2006/relationships/hyperlink" Target="https://www.mhlw.go.jp/seisakunitsuite/bunya/kenkou_iryou/kenkou/kekkaku-kansenshou/measles/"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mhlw.go.jp/content/10900000/001595216.pdf" TargetMode="External"/><Relationship Id="rId183" Type="http://schemas.openxmlformats.org/officeDocument/2006/relationships/hyperlink" Target="https://www.mhlw.go.jp/content/001741896.pdf" TargetMode="External"/><Relationship Id="rId24" Type="http://schemas.openxmlformats.org/officeDocument/2006/relationships/hyperlink" Target="https://id-info.jihs.go.jp/surveillance/idwr/idwr/2025/idwr2025-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www.moj.go.jp/isa/applications/ssw/nyuukokukanri05_00021.html" TargetMode="External"/><Relationship Id="rId110" Type="http://schemas.openxmlformats.org/officeDocument/2006/relationships/hyperlink" Target="https://laws.e-gov.go.jp/law/410AC0000000114" TargetMode="External"/><Relationship Id="rId115" Type="http://schemas.openxmlformats.org/officeDocument/2006/relationships/hyperlink" Target="https://www.mhlw.go.jp/content/001726232.pdf" TargetMode="External"/><Relationship Id="rId131" Type="http://schemas.openxmlformats.org/officeDocument/2006/relationships/hyperlink" Target="https://www.mhlw.go.jp/content/10900000/001755866.pdf" TargetMode="External"/><Relationship Id="rId136" Type="http://schemas.openxmlformats.org/officeDocument/2006/relationships/hyperlink" Target="https://www.mhlw.go.jp/wp/yosan/yosan/26syokanyosan/dl/gaiyo-13.pdf" TargetMode="External"/><Relationship Id="rId157" Type="http://schemas.openxmlformats.org/officeDocument/2006/relationships/hyperlink" Target="https://www.who.int/news-room/fact-sheets/detail/syphilis" TargetMode="External"/><Relationship Id="rId178" Type="http://schemas.openxmlformats.org/officeDocument/2006/relationships/hyperlink" Target="https://www.mhlw.go.jp/content/10900000/0000036299_1.pdf"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who.int/teams/global-programme-on-tuberculosis-and-lung-health/data" TargetMode="External"/><Relationship Id="rId152" Type="http://schemas.openxmlformats.org/officeDocument/2006/relationships/hyperlink" Target="https://api-net.jfap.or.jp/status/japan/data/2025/nenpo/r07gaiyo.pdf" TargetMode="External"/><Relationship Id="rId173" Type="http://schemas.openxmlformats.org/officeDocument/2006/relationships/hyperlink" Target="https://www.mhlw.go.jp/stf/seisakunitsuite/bunya/kenkou_iryou/kenkou/kekkaku-kansenshou03/index.html" TargetMode="External"/><Relationship Id="rId194" Type="http://schemas.openxmlformats.org/officeDocument/2006/relationships/hyperlink" Target="https://www.who.int/news-room/fact-sheets/detail/tuberculosis" TargetMode="External"/><Relationship Id="rId199" Type="http://schemas.openxmlformats.org/officeDocument/2006/relationships/hyperlink" Target="https://id-info.jihs.go.jp/infectious-diseases/dengue-fever/index.html" TargetMode="External"/><Relationship Id="rId203" Type="http://schemas.openxmlformats.org/officeDocument/2006/relationships/hyperlink" Target="https://id-info.jihs.go.jp/infectious-diseases/typhoid-and-paratyphoid-fevers/index.html" TargetMode="External"/><Relationship Id="rId19" Type="http://schemas.openxmlformats.org/officeDocument/2006/relationships/hyperlink" Target="https://www.mhlw.go.jp/content/10900000/001678695.xlsx"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content/001717102.pdf" TargetMode="External"/><Relationship Id="rId100" Type="http://schemas.openxmlformats.org/officeDocument/2006/relationships/hyperlink" Target="https://www.moj.go.jp/isa/10_00219.html" TargetMode="External"/><Relationship Id="rId105" Type="http://schemas.openxmlformats.org/officeDocument/2006/relationships/hyperlink" Target="https://www.otit.go.jp/employment_for_skill_development/cat/" TargetMode="External"/><Relationship Id="rId126" Type="http://schemas.openxmlformats.org/officeDocument/2006/relationships/hyperlink" Target="https://laws.e-gov.go.jp/law/410AC0000000114" TargetMode="External"/><Relationship Id="rId147" Type="http://schemas.openxmlformats.org/officeDocument/2006/relationships/hyperlink" Target="https://api-net.jfap.or.jp/knowledge/index.html" TargetMode="External"/><Relationship Id="rId168" Type="http://schemas.openxmlformats.org/officeDocument/2006/relationships/hyperlink" Target="https://id-info.jihs.go.jp/surveillance/idwr/diseases/measles/graph/2025/meas25-52.pdf"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mhlw.go.jp/stf/seisakunitsuite/bunya/0000188516_00011.html" TargetMode="External"/><Relationship Id="rId98" Type="http://schemas.openxmlformats.org/officeDocument/2006/relationships/hyperlink" Target="https://jpets.mhlw.go.jp/jp/" TargetMode="External"/><Relationship Id="rId121" Type="http://schemas.openxmlformats.org/officeDocument/2006/relationships/hyperlink" Target="https://mhlw-grants.niph.go.jp/system/files/report_pdf/202220001A-buntan2.pdf" TargetMode="External"/><Relationship Id="rId142" Type="http://schemas.openxmlformats.org/officeDocument/2006/relationships/hyperlink" Target="https://laws.e-gov.go.jp/law/323AC0000000068" TargetMode="External"/><Relationship Id="rId163" Type="http://schemas.openxmlformats.org/officeDocument/2006/relationships/hyperlink" Target="https://www.mhlw.go.jp/seisakunitsuite/bunya/kenkou_iryou/kenkou/kekkaku-kansenshou/measles/" TargetMode="External"/><Relationship Id="rId184" Type="http://schemas.openxmlformats.org/officeDocument/2006/relationships/hyperlink" Target="https://www.who.int/news-room/fact-sheets/detail/tuberculosis" TargetMode="External"/><Relationship Id="rId189" Type="http://schemas.openxmlformats.org/officeDocument/2006/relationships/hyperlink" Target="https://www.mhlw.go.jp/stf/seisakunitsuite/bunya/kenkou_iryou/kenkou/kekkaku-kansenshou/rubella/index_00001.html" TargetMode="External"/><Relationship Id="rId3" Type="http://schemas.openxmlformats.org/officeDocument/2006/relationships/hyperlink" Target="https://api-net.jfap.or.jp/status/japan/data/2025/nenpo/hyo-01.pdf"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www.mhlw.go.jp/stf/seisakunitsuite/bunya/kenkou_iryou/iryouhoken/juuyou/kougakuiryou/index.html" TargetMode="External"/><Relationship Id="rId137" Type="http://schemas.openxmlformats.org/officeDocument/2006/relationships/hyperlink" Target="https://www.hokeniryo.metro.tokyo.lg.jp/kansen/tomin/josei/joseinituite" TargetMode="External"/><Relationship Id="rId158" Type="http://schemas.openxmlformats.org/officeDocument/2006/relationships/hyperlink" Target="https://www.who.int/teams/global-hiv-hepatitis-and-stis-programmes/stis/strategic-information"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data/gho/data/indicators/indicator-details/GHO/measles---number-of-reported-cases" TargetMode="External"/><Relationship Id="rId88" Type="http://schemas.openxmlformats.org/officeDocument/2006/relationships/hyperlink" Target="https://www.otit.go.jp/system/sender/memorandum/" TargetMode="External"/><Relationship Id="rId111" Type="http://schemas.openxmlformats.org/officeDocument/2006/relationships/hyperlink" Target="https://laws.e-gov.go.jp/law/326AC0000000201" TargetMode="External"/><Relationship Id="rId132" Type="http://schemas.openxmlformats.org/officeDocument/2006/relationships/hyperlink" Target="https://www.mhlw.go.jp/content/000911977.pdf" TargetMode="External"/><Relationship Id="rId153" Type="http://schemas.openxmlformats.org/officeDocument/2006/relationships/hyperlink" Target="https://www.mhlw.go.jp/content/12401000/001477164.pdf" TargetMode="External"/><Relationship Id="rId174" Type="http://schemas.openxmlformats.org/officeDocument/2006/relationships/hyperlink" Target="https://id-info.jihs.go.jp/infectious-diseases/tuberculosis/index.html" TargetMode="External"/><Relationship Id="rId179" Type="http://schemas.openxmlformats.org/officeDocument/2006/relationships/hyperlink" Target="https://www.mhlw.go.jp/file/06-Seisakujouhou-10900000-Kenkoukyoku/16112501.pdf" TargetMode="External"/><Relationship Id="rId195" Type="http://schemas.openxmlformats.org/officeDocument/2006/relationships/hyperlink" Target="https://www.mhlw.go.jp/stf/seisakunitsuite/bunya/kenkou_iryou/kenkou/kekkaku-kansenshou03/index.html" TargetMode="External"/><Relationship Id="rId190" Type="http://schemas.openxmlformats.org/officeDocument/2006/relationships/hyperlink" Target="https://id-info.jihs.go.jp/infectious-diseases/hepatitis-b/index.html" TargetMode="External"/><Relationship Id="rId204" Type="http://schemas.openxmlformats.org/officeDocument/2006/relationships/hyperlink" Target="https://www.forth.go.jp/moreinfo/topics/name11.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moj.go.jp/isa/content/930005219.pdf" TargetMode="External"/><Relationship Id="rId127" Type="http://schemas.openxmlformats.org/officeDocument/2006/relationships/hyperlink" Target="https://www.mhlw.go.jp/content/12400000/001686842.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94" Type="http://schemas.openxmlformats.org/officeDocument/2006/relationships/hyperlink" Target="https://www.mhlw.go.jp/stf/seisakunitsuite/bunya/kenkou_iryou/kenkou/kekkaku-kansenshou03/index_00006.html" TargetMode="External"/><Relationship Id="rId99" Type="http://schemas.openxmlformats.org/officeDocument/2006/relationships/hyperlink" Target="https://www.mhlw.go.jp/content/001365232.pdf" TargetMode="External"/><Relationship Id="rId101" Type="http://schemas.openxmlformats.org/officeDocument/2006/relationships/hyperlink" Target="https://www.moj.go.jp/isa/content/001468647.pdf" TargetMode="External"/><Relationship Id="rId122" Type="http://schemas.openxmlformats.org/officeDocument/2006/relationships/hyperlink" Target="https://mhlw-grants.niph.go.jp/system/files/report_pdf/202120005A-buntan2.pdf" TargetMode="External"/><Relationship Id="rId143" Type="http://schemas.openxmlformats.org/officeDocument/2006/relationships/hyperlink" Target="https://www.mhlw.go.jp/stf/seisakunitsuite/bunya/hukushi_kaigo/shougaishahukushi/jiritsu/gaiyo.html" TargetMode="External"/><Relationship Id="rId148" Type="http://schemas.openxmlformats.org/officeDocument/2006/relationships/hyperlink" Target="https://api-net.jfap.or.jp/inspection/index.html" TargetMode="External"/><Relationship Id="rId164" Type="http://schemas.openxmlformats.org/officeDocument/2006/relationships/hyperlink" Target="https://www.mhlw.go.jp/stf/seisakunitsuite/bunya/kenkou_iryou/kenkou/kekkaku-kansenshou/measles_qa.htm" TargetMode="External"/><Relationship Id="rId169" Type="http://schemas.openxmlformats.org/officeDocument/2006/relationships/hyperlink" Target="https://id-info.jihs.go.jp/surveillance/idwr/diseases/measles/graph/2026/meas26-41.pdf" TargetMode="External"/><Relationship Id="rId185" Type="http://schemas.openxmlformats.org/officeDocument/2006/relationships/hyperlink" Target="https://cdn.who.int/media/docs/default-source/global-tuberculosis-report-2025/global-tb-report-2025_factsheet.pdf"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www.mhlw.go.jp/content/000844766.pdf"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mhlw.go.jp/stf/seisakunitsuite/bunya/0000180648.html" TargetMode="External"/><Relationship Id="rId112" Type="http://schemas.openxmlformats.org/officeDocument/2006/relationships/hyperlink" Target="https://laws.e-gov.go.jp/law/326CO0000000377" TargetMode="External"/><Relationship Id="rId133" Type="http://schemas.openxmlformats.org/officeDocument/2006/relationships/hyperlink" Target="https://www.mhlw.go.jp/content/000844766.pdf" TargetMode="External"/><Relationship Id="rId154" Type="http://schemas.openxmlformats.org/officeDocument/2006/relationships/hyperlink" Target="https://www.mhlw.go.jp/stf/seisakunitsuite/bunya/kenkou_iryou/kenkou/kekkaku-kansenshou/seikansenshou/syphilis.html" TargetMode="External"/><Relationship Id="rId175" Type="http://schemas.openxmlformats.org/officeDocument/2006/relationships/hyperlink" Target="https://www.mhlw.go.jp/bunya/kenkou/kekkaku-kansenshou11/01-02-02.html" TargetMode="External"/><Relationship Id="rId196" Type="http://schemas.openxmlformats.org/officeDocument/2006/relationships/hyperlink" Target="https://id-info.jihs.go.jp/infectious-diseases/tuberculosis/index.html" TargetMode="External"/><Relationship Id="rId200" Type="http://schemas.openxmlformats.org/officeDocument/2006/relationships/hyperlink" Target="https://www.mhlw.go.jp/stf/seisakunitsuite/bunya/0000131101.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102" Type="http://schemas.openxmlformats.org/officeDocument/2006/relationships/hyperlink" Target="https://www.moj.go.jp/isa/applications/ssw/10_00020.html" TargetMode="External"/><Relationship Id="rId123" Type="http://schemas.openxmlformats.org/officeDocument/2006/relationships/hyperlink" Target="https://mhlw-grants.niph.go.jp/system/files/report_pdf/202419007A-buntan1_1.pdf" TargetMode="External"/><Relationship Id="rId144" Type="http://schemas.openxmlformats.org/officeDocument/2006/relationships/hyperlink" Target="https://www.mhlw.go.jp/bunya/shougaihoken/jiritsu/kousei.html" TargetMode="External"/><Relationship Id="rId90" Type="http://schemas.openxmlformats.org/officeDocument/2006/relationships/hyperlink" Target="https://www.moj.go.jp/isa/applications/ssw/nyuukokukanri05_00002.html" TargetMode="External"/><Relationship Id="rId165" Type="http://schemas.openxmlformats.org/officeDocument/2006/relationships/hyperlink" Target="https://id-info.jihs.go.jp/infectious-diseases/measles/index.html" TargetMode="External"/><Relationship Id="rId186" Type="http://schemas.openxmlformats.org/officeDocument/2006/relationships/hyperlink" Target="https://www.who.int/teams/global-programme-on-tuberculosis-and-lung-health/tb-reports"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www.mhlw.go.jp/stf/newpage_54498.html" TargetMode="External"/><Relationship Id="rId134" Type="http://schemas.openxmlformats.org/officeDocument/2006/relationships/hyperlink" Target="https://www.mhlw.go.jp/content/001485302.pdf" TargetMode="External"/><Relationship Id="rId80" Type="http://schemas.openxmlformats.org/officeDocument/2006/relationships/hyperlink" Target="https://www.mhlw.go.jp/stf/seisakunitsuite/bunya/kenkou_iryou/kenkou/kekkaku-kansenshou/kihonteki_keikaku/index_00001.html" TargetMode="External"/><Relationship Id="rId155" Type="http://schemas.openxmlformats.org/officeDocument/2006/relationships/hyperlink" Target="https://www.mhlw.go.jp/stf/seisakunitsuite/bunya/kenkou_iryou/syphilis_qa.html" TargetMode="External"/><Relationship Id="rId176" Type="http://schemas.openxmlformats.org/officeDocument/2006/relationships/hyperlink" Target="https://laws.e-gov.go.jp/law/410AC0000000114" TargetMode="External"/><Relationship Id="rId197" Type="http://schemas.openxmlformats.org/officeDocument/2006/relationships/hyperlink" Target="https://id-info.jihs.go.jp/infectious-diseases/poliomyelitis/index.html" TargetMode="External"/><Relationship Id="rId201" Type="http://schemas.openxmlformats.org/officeDocument/2006/relationships/hyperlink" Target="https://id-info.jihs.go.jp/infectious-diseases/malaria/index.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content/001467946.pdf" TargetMode="External"/><Relationship Id="rId124" Type="http://schemas.openxmlformats.org/officeDocument/2006/relationships/hyperlink" Target="https://www.mhlw.go.jp/content/001717102.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hlw.go.jp/stf/seisakunitsuite/bunya/0000180648_00012.html" TargetMode="External"/><Relationship Id="rId145" Type="http://schemas.openxmlformats.org/officeDocument/2006/relationships/hyperlink" Target="https://www.mhlw.go.jp/stf/seisakunitsuite/bunya/kenkou_iryou/kenkou/kekkaku-kansenshou/aids/index.html" TargetMode="External"/><Relationship Id="rId166" Type="http://schemas.openxmlformats.org/officeDocument/2006/relationships/hyperlink" Target="https://id-info.jihs.go.jp/risk-assessment/measles/measles_ra_2026_1.pdf" TargetMode="External"/><Relationship Id="rId187" Type="http://schemas.openxmlformats.org/officeDocument/2006/relationships/hyperlink" Target="https://www.mhlw.go.jp/seisakunitsuite/bunya/kenkou_iryou/kenkou/kekkaku-kansenshou/rubella/index.html" TargetMode="External"/><Relationship Id="rId1" Type="http://schemas.openxmlformats.org/officeDocument/2006/relationships/hyperlink" Target="https://api-net.jfap.or.jp/status/japan/data/2026/2609/20260916_coment_kak.pdf"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hlw.go.jp/toukei/saikin/hw/k-iryohi/23/dl/R05data.pdf"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content/10900000/001440529.pdf" TargetMode="External"/><Relationship Id="rId135" Type="http://schemas.openxmlformats.org/officeDocument/2006/relationships/hyperlink" Target="https://www.mhlw.go.jp/stf/seisakunitsuite/bunya/kenkou_iryou/kenkou/kekkaku-kansenshou03/index.html" TargetMode="External"/><Relationship Id="rId156" Type="http://schemas.openxmlformats.org/officeDocument/2006/relationships/hyperlink" Target="https://id-info.jihs.go.jp/infectious-diseases/syphilis/index.html" TargetMode="External"/><Relationship Id="rId177" Type="http://schemas.openxmlformats.org/officeDocument/2006/relationships/hyperlink" Target="https://www.pref.kagawa.lg.jp/kansensyo/kekkaku-iryoukijun.html" TargetMode="External"/><Relationship Id="rId198" Type="http://schemas.openxmlformats.org/officeDocument/2006/relationships/hyperlink" Target="https://www.mhlw.go.jp/stf/seisakunitsuite/bunya/kenkou_iryou/kenkou/kekkaku-kansenshou/yobou-sesshu/vaccine/dpt-ipv-hib/index.html" TargetMode="External"/><Relationship Id="rId202" Type="http://schemas.openxmlformats.org/officeDocument/2006/relationships/hyperlink" Target="https://www.who.int/news-room/fact-sheets/detail/malaria"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5" Type="http://schemas.openxmlformats.org/officeDocument/2006/relationships/hyperlink" Target="https://laws.e-gov.go.jp/law/417AC0000000123" TargetMode="External"/><Relationship Id="rId146" Type="http://schemas.openxmlformats.org/officeDocument/2006/relationships/hyperlink" Target="https://id-info.jihs.go.jp/infectious-diseases/hiv-infection-and-aids/index.html" TargetMode="External"/><Relationship Id="rId167" Type="http://schemas.openxmlformats.org/officeDocument/2006/relationships/hyperlink" Target="https://id-info.jihs.go.jp/surveillance/idwr/annual/2024/syulist/Syu_07_1.xlsx" TargetMode="External"/><Relationship Id="rId188" Type="http://schemas.openxmlformats.org/officeDocument/2006/relationships/hyperlink" Target="https://id-info.jihs.go.jp/infectious-diseases/rubella/index.html"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otit.go.jp/employment_for_skill_development/moc/"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48" customHeight="1" x14ac:dyDescent="0.2">
      <c r="A4" s="2" t="s">
        <v>3</v>
      </c>
      <c r="B4" s="3" t="s">
        <v>4</v>
      </c>
    </row>
    <row r="5" spans="1:2" ht="79.95" customHeight="1" x14ac:dyDescent="0.2">
      <c r="A5" s="2" t="s">
        <v>5</v>
      </c>
      <c r="B5" s="3" t="s">
        <v>6</v>
      </c>
    </row>
    <row r="6" spans="1:2" ht="288"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2" t="s">
        <v>20</v>
      </c>
      <c r="B2" s="51"/>
      <c r="C2" s="51"/>
      <c r="D2" s="51"/>
      <c r="E2" s="51"/>
      <c r="F2" s="51"/>
      <c r="G2" s="51"/>
      <c r="H2" s="51"/>
      <c r="I2" s="51"/>
      <c r="J2" s="51"/>
      <c r="K2" s="51"/>
      <c r="L2" s="51"/>
      <c r="M2" s="51"/>
      <c r="N2" s="51"/>
      <c r="O2" s="51"/>
      <c r="P2" s="51"/>
    </row>
    <row r="3" spans="1:27" ht="31.95" customHeight="1" x14ac:dyDescent="0.2">
      <c r="A3" s="52" t="s">
        <v>21</v>
      </c>
      <c r="B3" s="51"/>
      <c r="C3" s="51"/>
      <c r="D3" s="51"/>
      <c r="E3" s="51"/>
      <c r="F3" s="51"/>
      <c r="G3" s="51"/>
      <c r="H3" s="51"/>
      <c r="I3" s="51"/>
      <c r="J3" s="51"/>
      <c r="K3" s="51"/>
      <c r="L3" s="51"/>
      <c r="M3" s="51"/>
      <c r="N3" s="51"/>
      <c r="O3" s="51"/>
      <c r="P3" s="51"/>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0">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0">
        <v>0.14000000000000001</v>
      </c>
      <c r="W7" s="8">
        <v>2024</v>
      </c>
      <c r="X7" s="7" t="s">
        <v>51</v>
      </c>
      <c r="Y7" s="7" t="s">
        <v>51</v>
      </c>
      <c r="Z7" s="10">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0">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0">
        <v>1.0900000000000001</v>
      </c>
      <c r="W9" s="8">
        <v>2024</v>
      </c>
      <c r="X9" s="7" t="s">
        <v>51</v>
      </c>
      <c r="Y9" s="7" t="s">
        <v>51</v>
      </c>
      <c r="Z9" s="10">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0">
        <v>0.03</v>
      </c>
      <c r="W10" s="8">
        <v>2023</v>
      </c>
      <c r="X10" s="7" t="s">
        <v>51</v>
      </c>
      <c r="Y10" s="7" t="s">
        <v>51</v>
      </c>
      <c r="Z10" s="10">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1" t="s">
        <v>68</v>
      </c>
      <c r="T11" s="9">
        <v>8700</v>
      </c>
      <c r="U11" s="9">
        <v>860</v>
      </c>
      <c r="V11" s="10">
        <v>5.2737147999999998E-2</v>
      </c>
      <c r="W11" s="8">
        <v>2023</v>
      </c>
      <c r="X11" s="7" t="s">
        <v>51</v>
      </c>
      <c r="Y11" s="7" t="s">
        <v>51</v>
      </c>
      <c r="Z11" s="10">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0">
        <v>1.72</v>
      </c>
      <c r="W12" s="8">
        <v>2024</v>
      </c>
      <c r="X12" s="7" t="s">
        <v>51</v>
      </c>
      <c r="Y12" s="7" t="s">
        <v>51</v>
      </c>
      <c r="Z12" s="10">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1" t="s">
        <v>73</v>
      </c>
      <c r="V13" s="9">
        <v>0</v>
      </c>
      <c r="W13" s="8">
        <v>2021</v>
      </c>
      <c r="X13" s="7" t="s">
        <v>51</v>
      </c>
      <c r="Y13" s="7" t="s">
        <v>51</v>
      </c>
      <c r="Z13" s="10">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0">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1"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0">
        <v>333.88981999999999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0">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1" t="s">
        <v>90</v>
      </c>
      <c r="V19" s="10">
        <v>0.45</v>
      </c>
      <c r="W19" s="8">
        <v>2024</v>
      </c>
      <c r="X19" s="7" t="s">
        <v>51</v>
      </c>
      <c r="Y19" s="7" t="s">
        <v>51</v>
      </c>
      <c r="Z19" s="10">
        <v>543.90053999999998</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0">
        <v>0.11</v>
      </c>
      <c r="W21" s="8">
        <v>2024</v>
      </c>
      <c r="X21" s="7" t="s">
        <v>51</v>
      </c>
      <c r="Y21" s="7" t="s">
        <v>51</v>
      </c>
      <c r="Z21" s="10">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0">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1" t="s">
        <v>68</v>
      </c>
      <c r="T23" s="9">
        <v>700</v>
      </c>
      <c r="U23" s="11" t="s">
        <v>90</v>
      </c>
      <c r="V23" s="10">
        <v>1.29</v>
      </c>
      <c r="W23" s="8">
        <v>2024</v>
      </c>
      <c r="X23" s="7" t="s">
        <v>51</v>
      </c>
      <c r="Y23" s="7" t="s">
        <v>51</v>
      </c>
      <c r="Z23" s="10">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0">
        <v>0.4</v>
      </c>
      <c r="W25" s="8">
        <v>2020</v>
      </c>
      <c r="X25" s="7" t="s">
        <v>51</v>
      </c>
      <c r="Y25" s="7" t="s">
        <v>51</v>
      </c>
      <c r="Z25" s="10">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1" t="s">
        <v>111</v>
      </c>
      <c r="V27" s="10">
        <v>0.83</v>
      </c>
      <c r="W27" s="8">
        <v>2024</v>
      </c>
      <c r="X27" s="7" t="s">
        <v>51</v>
      </c>
      <c r="Y27" s="7" t="s">
        <v>51</v>
      </c>
      <c r="Z27" s="7" t="s">
        <v>51</v>
      </c>
      <c r="AA27" s="7" t="s">
        <v>51</v>
      </c>
    </row>
    <row r="28" spans="1:27" ht="18" x14ac:dyDescent="0.45">
      <c r="A28" s="12"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1" t="s">
        <v>73</v>
      </c>
      <c r="U28" s="11" t="s">
        <v>90</v>
      </c>
      <c r="V28" s="7" t="s">
        <v>51</v>
      </c>
      <c r="W28" s="7" t="s">
        <v>51</v>
      </c>
      <c r="X28" s="9">
        <v>73</v>
      </c>
      <c r="Y28" s="8">
        <v>2023</v>
      </c>
      <c r="Z28" s="9">
        <v>0</v>
      </c>
      <c r="AA28" s="8">
        <v>2023</v>
      </c>
    </row>
    <row r="29" spans="1:27" ht="18" x14ac:dyDescent="0.45">
      <c r="A29" s="12"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1" t="s">
        <v>111</v>
      </c>
      <c r="V29" s="7" t="s">
        <v>51</v>
      </c>
      <c r="W29" s="7" t="s">
        <v>51</v>
      </c>
      <c r="X29" s="9">
        <v>864</v>
      </c>
      <c r="Y29" s="8">
        <v>2023</v>
      </c>
      <c r="Z29" s="9">
        <v>0</v>
      </c>
      <c r="AA29" s="8">
        <v>2023</v>
      </c>
    </row>
    <row r="30" spans="1:27" ht="36" x14ac:dyDescent="0.45">
      <c r="A30" s="12"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1" t="s">
        <v>73</v>
      </c>
      <c r="V30" s="7" t="s">
        <v>51</v>
      </c>
      <c r="W30" s="7" t="s">
        <v>51</v>
      </c>
      <c r="X30" s="7" t="s">
        <v>51</v>
      </c>
      <c r="Y30" s="7" t="s">
        <v>51</v>
      </c>
      <c r="Z30" s="9">
        <v>20</v>
      </c>
      <c r="AA30" s="8">
        <v>2023</v>
      </c>
    </row>
    <row r="31" spans="1:27" ht="18" x14ac:dyDescent="0.45">
      <c r="A31" s="12"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1" t="s">
        <v>68</v>
      </c>
      <c r="T31" s="9">
        <v>10000</v>
      </c>
      <c r="U31" s="9">
        <v>1100</v>
      </c>
      <c r="V31" s="7" t="s">
        <v>51</v>
      </c>
      <c r="W31" s="7" t="s">
        <v>51</v>
      </c>
      <c r="X31" s="7" t="s">
        <v>51</v>
      </c>
      <c r="Y31" s="7" t="s">
        <v>51</v>
      </c>
      <c r="Z31" s="7" t="s">
        <v>51</v>
      </c>
      <c r="AA31" s="7" t="s">
        <v>51</v>
      </c>
    </row>
    <row r="32" spans="1:27" ht="36" x14ac:dyDescent="0.45">
      <c r="A32" s="12"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0">
        <v>105.8</v>
      </c>
      <c r="AA32" s="8">
        <v>2023</v>
      </c>
    </row>
    <row r="33" spans="1:27" ht="36" x14ac:dyDescent="0.45">
      <c r="A33" s="12"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1" t="s">
        <v>68</v>
      </c>
      <c r="T33" s="9">
        <v>1400</v>
      </c>
      <c r="U33" s="11" t="s">
        <v>111</v>
      </c>
      <c r="V33" s="9">
        <v>0</v>
      </c>
      <c r="W33" s="8">
        <v>2024</v>
      </c>
      <c r="X33" s="7" t="s">
        <v>51</v>
      </c>
      <c r="Y33" s="7" t="s">
        <v>51</v>
      </c>
      <c r="Z33" s="10">
        <v>4.95</v>
      </c>
      <c r="AA33" s="8">
        <v>2024</v>
      </c>
    </row>
    <row r="34" spans="1:27" ht="18" x14ac:dyDescent="0.45">
      <c r="A34" s="12"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1" t="s">
        <v>68</v>
      </c>
      <c r="T34" s="9">
        <v>29000</v>
      </c>
      <c r="U34" s="9">
        <v>2700</v>
      </c>
      <c r="V34" s="7" t="s">
        <v>51</v>
      </c>
      <c r="W34" s="7" t="s">
        <v>51</v>
      </c>
      <c r="X34" s="7" t="s">
        <v>51</v>
      </c>
      <c r="Y34" s="7" t="s">
        <v>51</v>
      </c>
      <c r="Z34" s="7" t="s">
        <v>51</v>
      </c>
      <c r="AA34" s="7" t="s">
        <v>51</v>
      </c>
    </row>
    <row r="35" spans="1:27" ht="36" x14ac:dyDescent="0.45">
      <c r="A35" s="12"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0">
        <v>6.031329554</v>
      </c>
      <c r="W35" s="8">
        <v>2023</v>
      </c>
      <c r="X35" s="7" t="s">
        <v>51</v>
      </c>
      <c r="Y35" s="7" t="s">
        <v>51</v>
      </c>
      <c r="Z35" s="10">
        <v>221.31</v>
      </c>
      <c r="AA35" s="8">
        <v>2024</v>
      </c>
    </row>
    <row r="36" spans="1:27" ht="18" x14ac:dyDescent="0.45">
      <c r="A36" s="12"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1" t="s">
        <v>68</v>
      </c>
      <c r="T36" s="9">
        <v>1600</v>
      </c>
      <c r="U36" s="11" t="s">
        <v>111</v>
      </c>
      <c r="V36" s="7" t="s">
        <v>51</v>
      </c>
      <c r="W36" s="7" t="s">
        <v>51</v>
      </c>
      <c r="X36" s="7" t="s">
        <v>51</v>
      </c>
      <c r="Y36" s="7" t="s">
        <v>51</v>
      </c>
      <c r="Z36" s="9">
        <v>0</v>
      </c>
      <c r="AA36" s="8">
        <v>2024</v>
      </c>
    </row>
    <row r="37" spans="1:27" ht="36" x14ac:dyDescent="0.45">
      <c r="A37" s="12"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2"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0">
        <v>0.05</v>
      </c>
      <c r="W38" s="8">
        <v>2023</v>
      </c>
      <c r="X38" s="7" t="s">
        <v>51</v>
      </c>
      <c r="Y38" s="7" t="s">
        <v>51</v>
      </c>
      <c r="Z38" s="10">
        <v>8.92</v>
      </c>
      <c r="AA38" s="8">
        <v>2024</v>
      </c>
    </row>
    <row r="39" spans="1:27" ht="36" x14ac:dyDescent="0.45">
      <c r="A39" s="12"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2"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2"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1" t="s">
        <v>90</v>
      </c>
      <c r="V41" s="10">
        <v>2.73</v>
      </c>
      <c r="W41" s="8">
        <v>2024</v>
      </c>
      <c r="X41" s="7" t="s">
        <v>51</v>
      </c>
      <c r="Y41" s="7" t="s">
        <v>51</v>
      </c>
      <c r="Z41" s="9">
        <v>0</v>
      </c>
      <c r="AA41" s="8">
        <v>2022</v>
      </c>
    </row>
    <row r="42" spans="1:27" ht="18" x14ac:dyDescent="0.45">
      <c r="A42" s="12"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2"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1" t="s">
        <v>68</v>
      </c>
      <c r="T43" s="9">
        <v>15000</v>
      </c>
      <c r="U43" s="9">
        <v>1200</v>
      </c>
      <c r="V43" s="7" t="s">
        <v>51</v>
      </c>
      <c r="W43" s="7" t="s">
        <v>51</v>
      </c>
      <c r="X43" s="7" t="s">
        <v>51</v>
      </c>
      <c r="Y43" s="7" t="s">
        <v>51</v>
      </c>
      <c r="Z43" s="7" t="s">
        <v>51</v>
      </c>
      <c r="AA43" s="7" t="s">
        <v>51</v>
      </c>
    </row>
    <row r="44" spans="1:27" ht="36" x14ac:dyDescent="0.45">
      <c r="A44" s="12"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0">
        <v>3.5</v>
      </c>
      <c r="AA44" s="8">
        <v>2023</v>
      </c>
    </row>
    <row r="45" spans="1:27" ht="18" x14ac:dyDescent="0.45">
      <c r="A45" s="12"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0">
        <v>1.58</v>
      </c>
      <c r="AA45" s="8">
        <v>2023</v>
      </c>
    </row>
    <row r="46" spans="1:27" ht="36" x14ac:dyDescent="0.45">
      <c r="A46" s="12"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2"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2"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2"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0">
        <v>1.35</v>
      </c>
      <c r="W49" s="8">
        <v>2024</v>
      </c>
      <c r="X49" s="7" t="s">
        <v>51</v>
      </c>
      <c r="Y49" s="7" t="s">
        <v>51</v>
      </c>
      <c r="Z49" s="10">
        <v>863.37</v>
      </c>
      <c r="AA49" s="8">
        <v>2020</v>
      </c>
    </row>
    <row r="50" spans="1:27" ht="18" x14ac:dyDescent="0.45">
      <c r="A50" s="12"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0">
        <v>0.06</v>
      </c>
      <c r="W50" s="8">
        <v>2024</v>
      </c>
      <c r="X50" s="7" t="s">
        <v>51</v>
      </c>
      <c r="Y50" s="7" t="s">
        <v>51</v>
      </c>
      <c r="Z50" s="9">
        <v>0</v>
      </c>
      <c r="AA50" s="8">
        <v>2024</v>
      </c>
    </row>
    <row r="51" spans="1:27" ht="36" x14ac:dyDescent="0.45">
      <c r="A51" s="12"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2"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0">
        <v>0.54</v>
      </c>
      <c r="W52" s="8">
        <v>2024</v>
      </c>
      <c r="X52" s="7" t="s">
        <v>51</v>
      </c>
      <c r="Y52" s="7" t="s">
        <v>51</v>
      </c>
      <c r="Z52" s="10">
        <v>91.28</v>
      </c>
      <c r="AA52" s="8">
        <v>2024</v>
      </c>
    </row>
    <row r="53" spans="1:27" ht="18" x14ac:dyDescent="0.45">
      <c r="A53" s="12"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1" t="s">
        <v>68</v>
      </c>
      <c r="T53" s="9">
        <v>61000</v>
      </c>
      <c r="U53" s="9">
        <v>6300</v>
      </c>
      <c r="V53" s="10">
        <v>0.01</v>
      </c>
      <c r="W53" s="8">
        <v>2024</v>
      </c>
      <c r="X53" s="7" t="s">
        <v>51</v>
      </c>
      <c r="Y53" s="7" t="s">
        <v>51</v>
      </c>
      <c r="Z53" s="7" t="s">
        <v>51</v>
      </c>
      <c r="AA53" s="7" t="s">
        <v>51</v>
      </c>
    </row>
    <row r="54" spans="1:27" ht="18" x14ac:dyDescent="0.45">
      <c r="A54" s="12"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1" t="s">
        <v>90</v>
      </c>
      <c r="V54" s="7" t="s">
        <v>51</v>
      </c>
      <c r="W54" s="7" t="s">
        <v>51</v>
      </c>
      <c r="X54" s="9">
        <v>50</v>
      </c>
      <c r="Y54" s="8">
        <v>2023</v>
      </c>
      <c r="Z54" s="9">
        <v>0</v>
      </c>
      <c r="AA54" s="8">
        <v>2023</v>
      </c>
    </row>
    <row r="55" spans="1:27" ht="18" x14ac:dyDescent="0.45">
      <c r="A55" s="12"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0">
        <v>1.9607843140000001</v>
      </c>
      <c r="W55" s="8">
        <v>2023</v>
      </c>
      <c r="X55" s="7" t="s">
        <v>51</v>
      </c>
      <c r="Y55" s="7" t="s">
        <v>51</v>
      </c>
      <c r="Z55" s="7" t="s">
        <v>51</v>
      </c>
      <c r="AA55" s="7" t="s">
        <v>51</v>
      </c>
    </row>
    <row r="56" spans="1:27" ht="18" x14ac:dyDescent="0.45">
      <c r="A56" s="12"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0">
        <v>0.82</v>
      </c>
      <c r="W56" s="8">
        <v>2024</v>
      </c>
      <c r="X56" s="7" t="s">
        <v>51</v>
      </c>
      <c r="Y56" s="7" t="s">
        <v>51</v>
      </c>
      <c r="Z56" s="10">
        <v>5.48</v>
      </c>
      <c r="AA56" s="8">
        <v>2024</v>
      </c>
    </row>
    <row r="57" spans="1:27" ht="18" x14ac:dyDescent="0.45">
      <c r="A57" s="12"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1" t="s">
        <v>73</v>
      </c>
      <c r="V57" s="10">
        <v>0.62332531000000002</v>
      </c>
      <c r="W57" s="8">
        <v>2023</v>
      </c>
      <c r="X57" s="7" t="s">
        <v>51</v>
      </c>
      <c r="Y57" s="7" t="s">
        <v>51</v>
      </c>
      <c r="Z57" s="7" t="s">
        <v>51</v>
      </c>
      <c r="AA57" s="7" t="s">
        <v>51</v>
      </c>
    </row>
    <row r="58" spans="1:27" ht="36" x14ac:dyDescent="0.45">
      <c r="A58" s="12"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0">
        <v>0.23866348400000001</v>
      </c>
      <c r="W58" s="8">
        <v>2023</v>
      </c>
      <c r="X58" s="7" t="s">
        <v>51</v>
      </c>
      <c r="Y58" s="7" t="s">
        <v>51</v>
      </c>
      <c r="Z58" s="10">
        <v>116.56</v>
      </c>
      <c r="AA58" s="8">
        <v>2024</v>
      </c>
    </row>
    <row r="59" spans="1:27" ht="36" x14ac:dyDescent="0.45">
      <c r="A59" s="12"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1" t="s">
        <v>68</v>
      </c>
      <c r="T59" s="9">
        <v>3600</v>
      </c>
      <c r="U59" s="11" t="s">
        <v>111</v>
      </c>
      <c r="V59" s="7" t="s">
        <v>51</v>
      </c>
      <c r="W59" s="7" t="s">
        <v>51</v>
      </c>
      <c r="X59" s="7" t="s">
        <v>51</v>
      </c>
      <c r="Y59" s="7" t="s">
        <v>51</v>
      </c>
      <c r="Z59" s="7" t="s">
        <v>51</v>
      </c>
      <c r="AA59" s="7" t="s">
        <v>51</v>
      </c>
    </row>
    <row r="60" spans="1:27" ht="36" x14ac:dyDescent="0.45">
      <c r="A60" s="12"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2"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1" t="s">
        <v>73</v>
      </c>
      <c r="V61" s="7" t="s">
        <v>51</v>
      </c>
      <c r="W61" s="7" t="s">
        <v>51</v>
      </c>
      <c r="X61" s="9">
        <v>6036</v>
      </c>
      <c r="Y61" s="8">
        <v>2022</v>
      </c>
      <c r="Z61" s="7" t="s">
        <v>51</v>
      </c>
      <c r="AA61" s="7" t="s">
        <v>51</v>
      </c>
    </row>
    <row r="62" spans="1:27" ht="18" x14ac:dyDescent="0.45">
      <c r="A62" s="12"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2"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0">
        <v>7.0000000000000007E-2</v>
      </c>
      <c r="W63" s="8">
        <v>2024</v>
      </c>
      <c r="X63" s="7" t="s">
        <v>51</v>
      </c>
      <c r="Y63" s="7" t="s">
        <v>51</v>
      </c>
      <c r="Z63" s="10">
        <v>2.68</v>
      </c>
      <c r="AA63" s="8">
        <v>2024</v>
      </c>
    </row>
    <row r="64" spans="1:27" ht="36" x14ac:dyDescent="0.45">
      <c r="A64" s="12"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1" t="s">
        <v>68</v>
      </c>
      <c r="T64" s="9">
        <v>1000</v>
      </c>
      <c r="U64" s="11" t="s">
        <v>111</v>
      </c>
      <c r="V64" s="10">
        <v>0.13</v>
      </c>
      <c r="W64" s="8">
        <v>2024</v>
      </c>
      <c r="X64" s="7" t="s">
        <v>51</v>
      </c>
      <c r="Y64" s="7" t="s">
        <v>51</v>
      </c>
      <c r="Z64" s="10">
        <v>28.86</v>
      </c>
      <c r="AA64" s="8">
        <v>2024</v>
      </c>
    </row>
    <row r="65" spans="1:27" ht="18" x14ac:dyDescent="0.45">
      <c r="A65" s="12"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0">
        <v>14.53</v>
      </c>
      <c r="AA65" s="8">
        <v>2023</v>
      </c>
    </row>
    <row r="66" spans="1:27" ht="18" x14ac:dyDescent="0.45">
      <c r="A66" s="12"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0">
        <v>5.74</v>
      </c>
      <c r="W66" s="8">
        <v>2024</v>
      </c>
      <c r="X66" s="7" t="s">
        <v>51</v>
      </c>
      <c r="Y66" s="7" t="s">
        <v>51</v>
      </c>
      <c r="Z66" s="7" t="s">
        <v>51</v>
      </c>
      <c r="AA66" s="7" t="s">
        <v>51</v>
      </c>
    </row>
    <row r="67" spans="1:27" ht="18" x14ac:dyDescent="0.45">
      <c r="A67" s="12"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1" t="s">
        <v>73</v>
      </c>
      <c r="V67" s="7" t="s">
        <v>51</v>
      </c>
      <c r="W67" s="7" t="s">
        <v>51</v>
      </c>
      <c r="X67" s="7" t="s">
        <v>51</v>
      </c>
      <c r="Y67" s="7" t="s">
        <v>51</v>
      </c>
      <c r="Z67" s="7" t="s">
        <v>51</v>
      </c>
      <c r="AA67" s="7" t="s">
        <v>51</v>
      </c>
    </row>
    <row r="68" spans="1:27" ht="36" x14ac:dyDescent="0.45">
      <c r="A68" s="12"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1" t="s">
        <v>73</v>
      </c>
      <c r="V68" s="10">
        <v>1.7157072999999998E-2</v>
      </c>
      <c r="W68" s="8">
        <v>2023</v>
      </c>
      <c r="X68" s="7" t="s">
        <v>51</v>
      </c>
      <c r="Y68" s="7" t="s">
        <v>51</v>
      </c>
      <c r="Z68" s="7" t="s">
        <v>51</v>
      </c>
      <c r="AA68" s="7" t="s">
        <v>51</v>
      </c>
    </row>
    <row r="69" spans="1:27" ht="18" x14ac:dyDescent="0.45">
      <c r="A69" s="12"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0">
        <v>1.49</v>
      </c>
      <c r="W69" s="8">
        <v>2024</v>
      </c>
      <c r="X69" s="7" t="s">
        <v>51</v>
      </c>
      <c r="Y69" s="7" t="s">
        <v>51</v>
      </c>
      <c r="Z69" s="7" t="s">
        <v>51</v>
      </c>
      <c r="AA69" s="7" t="s">
        <v>51</v>
      </c>
    </row>
    <row r="70" spans="1:27" ht="18" x14ac:dyDescent="0.45">
      <c r="A70" s="12"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0">
        <v>8.99</v>
      </c>
      <c r="W70" s="8">
        <v>2024</v>
      </c>
      <c r="X70" s="7" t="s">
        <v>51</v>
      </c>
      <c r="Y70" s="7" t="s">
        <v>51</v>
      </c>
      <c r="Z70" s="7" t="s">
        <v>51</v>
      </c>
      <c r="AA70" s="7" t="s">
        <v>51</v>
      </c>
    </row>
    <row r="71" spans="1:27" ht="18" x14ac:dyDescent="0.45">
      <c r="A71" s="12"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2"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2"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2"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0">
        <v>2.2400000000000002</v>
      </c>
      <c r="W74" s="8">
        <v>2024</v>
      </c>
      <c r="X74" s="7" t="s">
        <v>51</v>
      </c>
      <c r="Y74" s="7" t="s">
        <v>51</v>
      </c>
      <c r="Z74" s="10">
        <v>21.02</v>
      </c>
      <c r="AA74" s="8">
        <v>2024</v>
      </c>
    </row>
    <row r="75" spans="1:27" ht="18" x14ac:dyDescent="0.45">
      <c r="A75" s="12"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2"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0">
        <v>0.9</v>
      </c>
      <c r="W76" s="8">
        <v>2024</v>
      </c>
      <c r="X76" s="7" t="s">
        <v>51</v>
      </c>
      <c r="Y76" s="7" t="s">
        <v>51</v>
      </c>
      <c r="Z76" s="7" t="s">
        <v>51</v>
      </c>
      <c r="AA76" s="7" t="s">
        <v>51</v>
      </c>
    </row>
    <row r="77" spans="1:27" ht="18" x14ac:dyDescent="0.45">
      <c r="A77" s="12"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2"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2"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1" t="s">
        <v>68</v>
      </c>
      <c r="T79" s="9">
        <v>1700</v>
      </c>
      <c r="U79" s="11" t="s">
        <v>73</v>
      </c>
      <c r="V79" s="7" t="s">
        <v>51</v>
      </c>
      <c r="W79" s="7" t="s">
        <v>51</v>
      </c>
      <c r="X79" s="7" t="s">
        <v>51</v>
      </c>
      <c r="Y79" s="7" t="s">
        <v>51</v>
      </c>
      <c r="Z79" s="7" t="s">
        <v>51</v>
      </c>
      <c r="AA79" s="7" t="s">
        <v>51</v>
      </c>
    </row>
    <row r="80" spans="1:27" ht="18" x14ac:dyDescent="0.45">
      <c r="A80" s="12"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2"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0">
        <v>3.11</v>
      </c>
      <c r="AA81" s="8">
        <v>2023</v>
      </c>
    </row>
    <row r="82" spans="1:27" ht="36" x14ac:dyDescent="0.45">
      <c r="A82" s="12"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0">
        <v>0.02</v>
      </c>
      <c r="W82" s="8">
        <v>2024</v>
      </c>
      <c r="X82" s="7" t="s">
        <v>51</v>
      </c>
      <c r="Y82" s="7" t="s">
        <v>51</v>
      </c>
      <c r="Z82" s="10">
        <v>6.9535200000000001</v>
      </c>
      <c r="AA82" s="8">
        <v>2022</v>
      </c>
    </row>
    <row r="83" spans="1:27" ht="36" x14ac:dyDescent="0.45">
      <c r="A83" s="12"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2"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2"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2"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2"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0">
        <v>0.94731250600000005</v>
      </c>
      <c r="W87" s="8">
        <v>2023</v>
      </c>
      <c r="X87" s="7" t="s">
        <v>51</v>
      </c>
      <c r="Y87" s="7" t="s">
        <v>51</v>
      </c>
      <c r="Z87" s="7" t="s">
        <v>51</v>
      </c>
      <c r="AA87" s="7" t="s">
        <v>51</v>
      </c>
    </row>
    <row r="88" spans="1:27" ht="36" x14ac:dyDescent="0.45">
      <c r="A88" s="12"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0">
        <v>1.94</v>
      </c>
      <c r="W88" s="8">
        <v>2024</v>
      </c>
      <c r="X88" s="7" t="s">
        <v>51</v>
      </c>
      <c r="Y88" s="7" t="s">
        <v>51</v>
      </c>
      <c r="Z88" s="10">
        <v>414.14185448400002</v>
      </c>
      <c r="AA88" s="8">
        <v>2023</v>
      </c>
    </row>
    <row r="89" spans="1:27" ht="18" x14ac:dyDescent="0.45">
      <c r="A89" s="12"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2"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1" t="s">
        <v>68</v>
      </c>
      <c r="T90" s="11" t="s">
        <v>73</v>
      </c>
      <c r="U90" s="11" t="s">
        <v>90</v>
      </c>
      <c r="V90" s="10">
        <v>0.16</v>
      </c>
      <c r="W90" s="8">
        <v>2024</v>
      </c>
      <c r="X90" s="7" t="s">
        <v>51</v>
      </c>
      <c r="Y90" s="7" t="s">
        <v>51</v>
      </c>
      <c r="Z90" s="7" t="s">
        <v>51</v>
      </c>
      <c r="AA90" s="7" t="s">
        <v>51</v>
      </c>
    </row>
    <row r="91" spans="1:27" ht="36" x14ac:dyDescent="0.45">
      <c r="A91" s="12"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0">
        <v>3.6782318620000001</v>
      </c>
      <c r="W91" s="8">
        <v>2023</v>
      </c>
      <c r="X91" s="7" t="s">
        <v>51</v>
      </c>
      <c r="Y91" s="7" t="s">
        <v>51</v>
      </c>
      <c r="Z91" s="10">
        <v>214.76</v>
      </c>
      <c r="AA91" s="8">
        <v>2024</v>
      </c>
    </row>
    <row r="92" spans="1:27" ht="18" x14ac:dyDescent="0.45">
      <c r="A92" s="12"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2"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0">
        <v>7.78</v>
      </c>
      <c r="W93" s="8">
        <v>2024</v>
      </c>
      <c r="X93" s="7" t="s">
        <v>51</v>
      </c>
      <c r="Y93" s="7" t="s">
        <v>51</v>
      </c>
      <c r="Z93" s="10">
        <v>414.96</v>
      </c>
      <c r="AA93" s="8">
        <v>2024</v>
      </c>
    </row>
    <row r="94" spans="1:27" ht="36" x14ac:dyDescent="0.45">
      <c r="A94" s="12"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2"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1" t="s">
        <v>68</v>
      </c>
      <c r="T95" s="9">
        <v>14000</v>
      </c>
      <c r="U95" s="9">
        <v>1300</v>
      </c>
      <c r="V95" s="9">
        <v>0</v>
      </c>
      <c r="W95" s="8">
        <v>2024</v>
      </c>
      <c r="X95" s="7" t="s">
        <v>51</v>
      </c>
      <c r="Y95" s="7" t="s">
        <v>51</v>
      </c>
      <c r="Z95" s="9">
        <v>0</v>
      </c>
      <c r="AA95" s="8">
        <v>2024</v>
      </c>
    </row>
    <row r="96" spans="1:27" ht="18" x14ac:dyDescent="0.45">
      <c r="A96" s="12"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2"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1" t="s">
        <v>90</v>
      </c>
      <c r="V97" s="7" t="s">
        <v>51</v>
      </c>
      <c r="W97" s="7" t="s">
        <v>51</v>
      </c>
      <c r="X97" s="7" t="s">
        <v>51</v>
      </c>
      <c r="Y97" s="7" t="s">
        <v>51</v>
      </c>
      <c r="Z97" s="7" t="s">
        <v>51</v>
      </c>
      <c r="AA97" s="7" t="s">
        <v>51</v>
      </c>
    </row>
    <row r="98" spans="1:27" ht="18" x14ac:dyDescent="0.45">
      <c r="A98" s="12"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2"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0">
        <v>5.95</v>
      </c>
      <c r="W99" s="8">
        <v>2024</v>
      </c>
      <c r="X99" s="7" t="s">
        <v>51</v>
      </c>
      <c r="Y99" s="7" t="s">
        <v>51</v>
      </c>
      <c r="Z99" s="10">
        <v>377.25</v>
      </c>
      <c r="AA99" s="8">
        <v>2024</v>
      </c>
    </row>
    <row r="100" spans="1:27" ht="18" x14ac:dyDescent="0.45">
      <c r="A100" s="12"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0">
        <v>0.8</v>
      </c>
      <c r="W100" s="8">
        <v>2022</v>
      </c>
      <c r="X100" s="7" t="s">
        <v>51</v>
      </c>
      <c r="Y100" s="7" t="s">
        <v>51</v>
      </c>
      <c r="Z100" s="10">
        <v>878.61</v>
      </c>
      <c r="AA100" s="8">
        <v>2024</v>
      </c>
    </row>
    <row r="101" spans="1:27" ht="36" x14ac:dyDescent="0.45">
      <c r="A101" s="12"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1" t="s">
        <v>68</v>
      </c>
      <c r="T101" s="9">
        <v>1000</v>
      </c>
      <c r="U101" s="11" t="s">
        <v>90</v>
      </c>
      <c r="V101" s="7" t="s">
        <v>51</v>
      </c>
      <c r="W101" s="7" t="s">
        <v>51</v>
      </c>
      <c r="X101" s="7" t="s">
        <v>51</v>
      </c>
      <c r="Y101" s="7" t="s">
        <v>51</v>
      </c>
      <c r="Z101" s="7" t="s">
        <v>51</v>
      </c>
      <c r="AA101" s="7" t="s">
        <v>51</v>
      </c>
    </row>
    <row r="102" spans="1:27" ht="18" x14ac:dyDescent="0.45">
      <c r="A102" s="12"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1" t="s">
        <v>111</v>
      </c>
      <c r="V102" s="10">
        <v>0.40348464000000001</v>
      </c>
      <c r="W102" s="8">
        <v>2023</v>
      </c>
      <c r="X102" s="7" t="s">
        <v>51</v>
      </c>
      <c r="Y102" s="7" t="s">
        <v>51</v>
      </c>
      <c r="Z102" s="10">
        <v>36.045778138000003</v>
      </c>
      <c r="AA102" s="8">
        <v>2023</v>
      </c>
    </row>
    <row r="103" spans="1:27" ht="54" x14ac:dyDescent="0.45">
      <c r="A103" s="12"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2"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1" t="s">
        <v>73</v>
      </c>
      <c r="V104" s="7" t="s">
        <v>51</v>
      </c>
      <c r="W104" s="7" t="s">
        <v>51</v>
      </c>
      <c r="X104" s="7" t="s">
        <v>51</v>
      </c>
      <c r="Y104" s="7" t="s">
        <v>51</v>
      </c>
      <c r="Z104" s="7" t="s">
        <v>51</v>
      </c>
      <c r="AA104" s="7" t="s">
        <v>51</v>
      </c>
    </row>
    <row r="105" spans="1:27" ht="36" x14ac:dyDescent="0.45">
      <c r="A105" s="12"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0">
        <v>0.83</v>
      </c>
      <c r="W105" s="8">
        <v>2024</v>
      </c>
      <c r="X105" s="7" t="s">
        <v>51</v>
      </c>
      <c r="Y105" s="7" t="s">
        <v>51</v>
      </c>
      <c r="Z105" s="10">
        <v>57.1</v>
      </c>
      <c r="AA105" s="8">
        <v>2024</v>
      </c>
    </row>
    <row r="106" spans="1:27" ht="36" x14ac:dyDescent="0.45">
      <c r="A106" s="12"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1" t="s">
        <v>73</v>
      </c>
      <c r="V106" s="10">
        <v>0.23</v>
      </c>
      <c r="W106" s="8">
        <v>2024</v>
      </c>
      <c r="X106" s="7" t="s">
        <v>51</v>
      </c>
      <c r="Y106" s="7" t="s">
        <v>51</v>
      </c>
      <c r="Z106" s="10">
        <v>7.72</v>
      </c>
      <c r="AA106" s="8">
        <v>2024</v>
      </c>
    </row>
    <row r="107" spans="1:27" ht="18" x14ac:dyDescent="0.45">
      <c r="A107" s="12"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0">
        <v>1.78</v>
      </c>
      <c r="W107" s="8">
        <v>2024</v>
      </c>
      <c r="X107" s="7" t="s">
        <v>51</v>
      </c>
      <c r="Y107" s="7" t="s">
        <v>51</v>
      </c>
      <c r="Z107" s="10">
        <v>143.65</v>
      </c>
      <c r="AA107" s="8">
        <v>2024</v>
      </c>
    </row>
    <row r="108" spans="1:27" ht="18" x14ac:dyDescent="0.45">
      <c r="A108" s="12"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1" t="s">
        <v>73</v>
      </c>
      <c r="V108" s="7" t="s">
        <v>51</v>
      </c>
      <c r="W108" s="7" t="s">
        <v>51</v>
      </c>
      <c r="X108" s="7" t="s">
        <v>51</v>
      </c>
      <c r="Y108" s="7" t="s">
        <v>51</v>
      </c>
      <c r="Z108" s="10">
        <v>1.2</v>
      </c>
      <c r="AA108" s="8">
        <v>2023</v>
      </c>
    </row>
    <row r="109" spans="1:27" ht="18" x14ac:dyDescent="0.45">
      <c r="A109" s="12"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2"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0">
        <v>1.55</v>
      </c>
      <c r="AA110" s="8">
        <v>2023</v>
      </c>
    </row>
    <row r="111" spans="1:27" ht="36" x14ac:dyDescent="0.45">
      <c r="A111" s="12"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1" t="s">
        <v>73</v>
      </c>
      <c r="V111" s="7" t="s">
        <v>51</v>
      </c>
      <c r="W111" s="7" t="s">
        <v>51</v>
      </c>
      <c r="X111" s="7" t="s">
        <v>51</v>
      </c>
      <c r="Y111" s="7" t="s">
        <v>51</v>
      </c>
      <c r="Z111" s="7" t="s">
        <v>51</v>
      </c>
      <c r="AA111" s="7" t="s">
        <v>51</v>
      </c>
    </row>
    <row r="112" spans="1:27" ht="18" x14ac:dyDescent="0.45">
      <c r="A112" s="12"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0">
        <v>8.23</v>
      </c>
      <c r="AA112" s="8">
        <v>2023</v>
      </c>
    </row>
    <row r="113" spans="1:27" ht="18" x14ac:dyDescent="0.45">
      <c r="A113" s="12"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1" t="s">
        <v>68</v>
      </c>
      <c r="T113" s="9">
        <v>1000</v>
      </c>
      <c r="U113" s="11" t="s">
        <v>90</v>
      </c>
      <c r="V113" s="7" t="s">
        <v>51</v>
      </c>
      <c r="W113" s="7" t="s">
        <v>51</v>
      </c>
      <c r="X113" s="9">
        <v>78</v>
      </c>
      <c r="Y113" s="8">
        <v>2023</v>
      </c>
      <c r="Z113" s="9">
        <v>0</v>
      </c>
      <c r="AA113" s="8">
        <v>2023</v>
      </c>
    </row>
    <row r="114" spans="1:27" ht="18" x14ac:dyDescent="0.45">
      <c r="A114" s="12"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2"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0">
        <v>0.8</v>
      </c>
      <c r="W115" s="8">
        <v>2022</v>
      </c>
      <c r="X115" s="7" t="s">
        <v>51</v>
      </c>
      <c r="Y115" s="7" t="s">
        <v>51</v>
      </c>
      <c r="Z115" s="7" t="s">
        <v>51</v>
      </c>
      <c r="AA115" s="7" t="s">
        <v>51</v>
      </c>
    </row>
    <row r="116" spans="1:27" ht="18" x14ac:dyDescent="0.45">
      <c r="A116" s="12"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1" t="s">
        <v>68</v>
      </c>
      <c r="T116" s="9">
        <v>4000</v>
      </c>
      <c r="U116" s="11" t="s">
        <v>111</v>
      </c>
      <c r="V116" s="7" t="s">
        <v>51</v>
      </c>
      <c r="W116" s="7" t="s">
        <v>51</v>
      </c>
      <c r="X116" s="7" t="s">
        <v>51</v>
      </c>
      <c r="Y116" s="7" t="s">
        <v>51</v>
      </c>
      <c r="Z116" s="10">
        <v>6.77</v>
      </c>
      <c r="AA116" s="8">
        <v>2024</v>
      </c>
    </row>
    <row r="117" spans="1:27" ht="54" x14ac:dyDescent="0.45">
      <c r="A117" s="12"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1" t="s">
        <v>73</v>
      </c>
      <c r="U117" s="11" t="s">
        <v>90</v>
      </c>
      <c r="V117" s="9">
        <v>0</v>
      </c>
      <c r="W117" s="8">
        <v>2024</v>
      </c>
      <c r="X117" s="7" t="s">
        <v>51</v>
      </c>
      <c r="Y117" s="7" t="s">
        <v>51</v>
      </c>
      <c r="Z117" s="9">
        <v>0</v>
      </c>
      <c r="AA117" s="8">
        <v>2024</v>
      </c>
    </row>
    <row r="118" spans="1:27" ht="54" x14ac:dyDescent="0.45">
      <c r="A118" s="12"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2"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1" t="s">
        <v>90</v>
      </c>
      <c r="V119" s="10">
        <v>2.25</v>
      </c>
      <c r="W119" s="8">
        <v>2021</v>
      </c>
      <c r="X119" s="7" t="s">
        <v>51</v>
      </c>
      <c r="Y119" s="7" t="s">
        <v>51</v>
      </c>
      <c r="Z119" s="10">
        <v>422.83</v>
      </c>
      <c r="AA119" s="8">
        <v>2024</v>
      </c>
    </row>
    <row r="120" spans="1:27" ht="18" x14ac:dyDescent="0.45">
      <c r="A120" s="12"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0">
        <v>1.65</v>
      </c>
      <c r="W120" s="8">
        <v>2024</v>
      </c>
      <c r="X120" s="7" t="s">
        <v>51</v>
      </c>
      <c r="Y120" s="7" t="s">
        <v>51</v>
      </c>
      <c r="Z120" s="9">
        <v>0</v>
      </c>
      <c r="AA120" s="8">
        <v>2024</v>
      </c>
    </row>
    <row r="121" spans="1:27" ht="18" x14ac:dyDescent="0.45">
      <c r="A121" s="12"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1" t="s">
        <v>68</v>
      </c>
      <c r="T121" s="9">
        <v>7100</v>
      </c>
      <c r="U121" s="11" t="s">
        <v>111</v>
      </c>
      <c r="V121" s="7" t="s">
        <v>51</v>
      </c>
      <c r="W121" s="7" t="s">
        <v>51</v>
      </c>
      <c r="X121" s="7" t="s">
        <v>51</v>
      </c>
      <c r="Y121" s="7" t="s">
        <v>51</v>
      </c>
      <c r="Z121" s="7" t="s">
        <v>51</v>
      </c>
      <c r="AA121" s="7" t="s">
        <v>51</v>
      </c>
    </row>
    <row r="122" spans="1:27" ht="18" x14ac:dyDescent="0.45">
      <c r="A122" s="12"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0">
        <v>659.61</v>
      </c>
      <c r="AA122" s="8">
        <v>2024</v>
      </c>
    </row>
    <row r="123" spans="1:27" ht="36" x14ac:dyDescent="0.45">
      <c r="A123" s="12"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0">
        <v>0.4</v>
      </c>
      <c r="W123" s="8">
        <v>2024</v>
      </c>
      <c r="X123" s="7" t="s">
        <v>51</v>
      </c>
      <c r="Y123" s="7" t="s">
        <v>51</v>
      </c>
      <c r="Z123" s="10">
        <v>415.87</v>
      </c>
      <c r="AA123" s="8">
        <v>2024</v>
      </c>
    </row>
    <row r="124" spans="1:27" ht="54" x14ac:dyDescent="0.45">
      <c r="A124" s="12"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2"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2"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0">
        <v>2.92</v>
      </c>
      <c r="W126" s="8">
        <v>2024</v>
      </c>
      <c r="X126" s="7" t="s">
        <v>51</v>
      </c>
      <c r="Y126" s="7" t="s">
        <v>51</v>
      </c>
      <c r="Z126" s="7" t="s">
        <v>51</v>
      </c>
      <c r="AA126" s="7" t="s">
        <v>51</v>
      </c>
    </row>
    <row r="127" spans="1:27" ht="18" x14ac:dyDescent="0.45">
      <c r="A127" s="12"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2"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0">
        <v>0.66</v>
      </c>
      <c r="W128" s="8">
        <v>2024</v>
      </c>
      <c r="X128" s="7" t="s">
        <v>51</v>
      </c>
      <c r="Y128" s="7" t="s">
        <v>51</v>
      </c>
      <c r="Z128" s="10">
        <v>39.617558500000001</v>
      </c>
      <c r="AA128" s="8">
        <v>2022</v>
      </c>
    </row>
    <row r="129" spans="1:27" ht="18" x14ac:dyDescent="0.45">
      <c r="A129" s="12"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0">
        <v>0.38</v>
      </c>
      <c r="W129" s="8">
        <v>2024</v>
      </c>
      <c r="X129" s="7" t="s">
        <v>51</v>
      </c>
      <c r="Y129" s="7" t="s">
        <v>51</v>
      </c>
      <c r="Z129" s="9">
        <v>0</v>
      </c>
      <c r="AA129" s="8">
        <v>2024</v>
      </c>
    </row>
    <row r="130" spans="1:27" ht="18" x14ac:dyDescent="0.45">
      <c r="A130" s="12"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2"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2"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1" t="s">
        <v>73</v>
      </c>
      <c r="V132" s="7" t="s">
        <v>51</v>
      </c>
      <c r="W132" s="7" t="s">
        <v>51</v>
      </c>
      <c r="X132" s="7" t="s">
        <v>51</v>
      </c>
      <c r="Y132" s="7" t="s">
        <v>51</v>
      </c>
      <c r="Z132" s="10">
        <v>23.270245113000001</v>
      </c>
      <c r="AA132" s="8">
        <v>2023</v>
      </c>
    </row>
    <row r="133" spans="1:27" ht="36" x14ac:dyDescent="0.45">
      <c r="A133" s="12"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2"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0">
        <v>4.16</v>
      </c>
      <c r="AA134" s="8">
        <v>2024</v>
      </c>
    </row>
    <row r="135" spans="1:27" ht="18" x14ac:dyDescent="0.45">
      <c r="A135" s="12"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2"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0">
        <v>0.73</v>
      </c>
      <c r="W136" s="8">
        <v>2024</v>
      </c>
      <c r="X136" s="7" t="s">
        <v>51</v>
      </c>
      <c r="Y136" s="7" t="s">
        <v>51</v>
      </c>
      <c r="Z136" s="10">
        <v>17.41</v>
      </c>
      <c r="AA136" s="8">
        <v>2024</v>
      </c>
    </row>
    <row r="137" spans="1:27" ht="18" x14ac:dyDescent="0.45">
      <c r="A137" s="12"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0">
        <v>0.43</v>
      </c>
      <c r="AA137" s="8">
        <v>2023</v>
      </c>
    </row>
    <row r="138" spans="1:27" ht="36" x14ac:dyDescent="0.45">
      <c r="A138" s="12"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0">
        <v>126.52</v>
      </c>
      <c r="AA138" s="8">
        <v>2024</v>
      </c>
    </row>
    <row r="139" spans="1:27" ht="36" x14ac:dyDescent="0.45">
      <c r="A139" s="12"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0">
        <v>1.3</v>
      </c>
      <c r="W139" s="8">
        <v>2022</v>
      </c>
      <c r="X139" s="7" t="s">
        <v>51</v>
      </c>
      <c r="Y139" s="7" t="s">
        <v>51</v>
      </c>
      <c r="Z139" s="10">
        <v>534.76</v>
      </c>
      <c r="AA139" s="8">
        <v>2024</v>
      </c>
    </row>
    <row r="140" spans="1:27" ht="18" x14ac:dyDescent="0.45">
      <c r="A140" s="12"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0">
        <v>0.15</v>
      </c>
      <c r="W140" s="8">
        <v>2024</v>
      </c>
      <c r="X140" s="7" t="s">
        <v>51</v>
      </c>
      <c r="Y140" s="7" t="s">
        <v>51</v>
      </c>
      <c r="Z140" s="7" t="s">
        <v>51</v>
      </c>
      <c r="AA140" s="7" t="s">
        <v>51</v>
      </c>
    </row>
    <row r="141" spans="1:27" ht="18" x14ac:dyDescent="0.45">
      <c r="A141" s="12"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2"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0">
        <v>2.97</v>
      </c>
      <c r="W142" s="8">
        <v>2024</v>
      </c>
      <c r="X142" s="7" t="s">
        <v>51</v>
      </c>
      <c r="Y142" s="7" t="s">
        <v>51</v>
      </c>
      <c r="Z142" s="10">
        <v>296.2</v>
      </c>
      <c r="AA142" s="8">
        <v>2024</v>
      </c>
    </row>
    <row r="143" spans="1:27" ht="18" x14ac:dyDescent="0.45">
      <c r="A143" s="12"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2"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0">
        <v>0.15197835400000001</v>
      </c>
      <c r="W144" s="8">
        <v>2023</v>
      </c>
      <c r="X144" s="7" t="s">
        <v>51</v>
      </c>
      <c r="Y144" s="7" t="s">
        <v>51</v>
      </c>
      <c r="Z144" s="10">
        <v>17.350000000000001</v>
      </c>
      <c r="AA144" s="8">
        <v>2024</v>
      </c>
    </row>
    <row r="145" spans="1:27" ht="18" x14ac:dyDescent="0.45">
      <c r="A145" s="12"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0">
        <v>0.87</v>
      </c>
      <c r="W145" s="8">
        <v>2024</v>
      </c>
      <c r="X145" s="7" t="s">
        <v>51</v>
      </c>
      <c r="Y145" s="7" t="s">
        <v>51</v>
      </c>
      <c r="Z145" s="7" t="s">
        <v>51</v>
      </c>
      <c r="AA145" s="7" t="s">
        <v>51</v>
      </c>
    </row>
    <row r="146" spans="1:27" ht="54" x14ac:dyDescent="0.45">
      <c r="A146" s="12"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2"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1" t="s">
        <v>68</v>
      </c>
      <c r="T147" s="9">
        <v>4000</v>
      </c>
      <c r="U147" s="11" t="s">
        <v>90</v>
      </c>
      <c r="V147" s="7" t="s">
        <v>51</v>
      </c>
      <c r="W147" s="7" t="s">
        <v>51</v>
      </c>
      <c r="X147" s="9">
        <v>209253</v>
      </c>
      <c r="Y147" s="8">
        <v>2023</v>
      </c>
      <c r="Z147" s="10">
        <v>8.57</v>
      </c>
      <c r="AA147" s="8">
        <v>2024</v>
      </c>
    </row>
    <row r="148" spans="1:27" ht="18" x14ac:dyDescent="0.45">
      <c r="A148" s="12"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1" t="s">
        <v>68</v>
      </c>
      <c r="T148" s="9">
        <v>5300</v>
      </c>
      <c r="U148" s="11" t="s">
        <v>90</v>
      </c>
      <c r="V148" s="7" t="s">
        <v>51</v>
      </c>
      <c r="W148" s="7" t="s">
        <v>51</v>
      </c>
      <c r="X148" s="9">
        <v>208</v>
      </c>
      <c r="Y148" s="8">
        <v>2023</v>
      </c>
      <c r="Z148" s="9">
        <v>0</v>
      </c>
      <c r="AA148" s="8">
        <v>2023</v>
      </c>
    </row>
    <row r="149" spans="1:27" ht="36" x14ac:dyDescent="0.45">
      <c r="A149" s="12"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0">
        <v>2.0099999999999998</v>
      </c>
      <c r="W149" s="8">
        <v>2024</v>
      </c>
      <c r="X149" s="7" t="s">
        <v>51</v>
      </c>
      <c r="Y149" s="7" t="s">
        <v>51</v>
      </c>
      <c r="Z149" s="10">
        <v>76.196500712000002</v>
      </c>
      <c r="AA149" s="8">
        <v>2023</v>
      </c>
    </row>
    <row r="150" spans="1:27" ht="18" x14ac:dyDescent="0.45">
      <c r="A150" s="12"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0">
        <v>14.83</v>
      </c>
      <c r="AA150" s="8">
        <v>2023</v>
      </c>
    </row>
    <row r="151" spans="1:27" ht="18" x14ac:dyDescent="0.45">
      <c r="A151" s="12"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0">
        <v>4.47</v>
      </c>
      <c r="W151" s="8">
        <v>2024</v>
      </c>
      <c r="X151" s="7" t="s">
        <v>51</v>
      </c>
      <c r="Y151" s="7" t="s">
        <v>51</v>
      </c>
      <c r="Z151" s="7" t="s">
        <v>51</v>
      </c>
      <c r="AA151" s="7" t="s">
        <v>51</v>
      </c>
    </row>
    <row r="152" spans="1:27" ht="36" x14ac:dyDescent="0.45">
      <c r="A152" s="12"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1" t="s">
        <v>90</v>
      </c>
      <c r="V152" s="10">
        <v>1.18</v>
      </c>
      <c r="W152" s="8">
        <v>2020</v>
      </c>
      <c r="X152" s="7" t="s">
        <v>51</v>
      </c>
      <c r="Y152" s="7" t="s">
        <v>51</v>
      </c>
      <c r="Z152" s="7" t="s">
        <v>51</v>
      </c>
      <c r="AA152" s="7" t="s">
        <v>51</v>
      </c>
    </row>
    <row r="153" spans="1:27" ht="36" x14ac:dyDescent="0.45">
      <c r="A153" s="12"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2"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1" t="s">
        <v>90</v>
      </c>
      <c r="V154" s="10">
        <v>1.39</v>
      </c>
      <c r="W154" s="8">
        <v>2024</v>
      </c>
      <c r="X154" s="7" t="s">
        <v>51</v>
      </c>
      <c r="Y154" s="7" t="s">
        <v>51</v>
      </c>
      <c r="Z154" s="9">
        <v>0</v>
      </c>
      <c r="AA154" s="8">
        <v>2023</v>
      </c>
    </row>
    <row r="155" spans="1:27" ht="36" x14ac:dyDescent="0.45">
      <c r="A155" s="12"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2"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0">
        <v>1.86</v>
      </c>
      <c r="W156" s="8">
        <v>2024</v>
      </c>
      <c r="X156" s="7" t="s">
        <v>51</v>
      </c>
      <c r="Y156" s="7" t="s">
        <v>51</v>
      </c>
      <c r="Z156" s="10">
        <v>421.73</v>
      </c>
      <c r="AA156" s="8">
        <v>2024</v>
      </c>
    </row>
    <row r="157" spans="1:27" ht="36" x14ac:dyDescent="0.45">
      <c r="A157" s="12"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0">
        <v>3.82</v>
      </c>
      <c r="W157" s="8">
        <v>2024</v>
      </c>
      <c r="X157" s="7" t="s">
        <v>51</v>
      </c>
      <c r="Y157" s="7" t="s">
        <v>51</v>
      </c>
      <c r="Z157" s="10">
        <v>4275.9603800000004</v>
      </c>
      <c r="AA157" s="8">
        <v>2022</v>
      </c>
    </row>
    <row r="158" spans="1:27" ht="18" x14ac:dyDescent="0.45">
      <c r="A158" s="12"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0">
        <v>3.09</v>
      </c>
      <c r="W158" s="8">
        <v>2024</v>
      </c>
      <c r="X158" s="7" t="s">
        <v>51</v>
      </c>
      <c r="Y158" s="7" t="s">
        <v>51</v>
      </c>
      <c r="Z158" s="9">
        <v>0</v>
      </c>
      <c r="AA158" s="8">
        <v>2024</v>
      </c>
    </row>
    <row r="159" spans="1:27" ht="36" x14ac:dyDescent="0.45">
      <c r="A159" s="12"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0">
        <v>4.63</v>
      </c>
      <c r="W159" s="8">
        <v>2024</v>
      </c>
      <c r="X159" s="7" t="s">
        <v>51</v>
      </c>
      <c r="Y159" s="7" t="s">
        <v>51</v>
      </c>
      <c r="Z159" s="10">
        <v>374.900933807</v>
      </c>
      <c r="AA159" s="8">
        <v>2023</v>
      </c>
    </row>
    <row r="160" spans="1:27" ht="54" x14ac:dyDescent="0.45">
      <c r="A160" s="12"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2"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2"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2"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2"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0">
        <v>1033.777027872</v>
      </c>
      <c r="AA164" s="8">
        <v>2023</v>
      </c>
    </row>
    <row r="165" spans="1:27" ht="18" x14ac:dyDescent="0.45">
      <c r="A165" s="12"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1" t="s">
        <v>73</v>
      </c>
      <c r="V165" s="7" t="s">
        <v>51</v>
      </c>
      <c r="W165" s="7" t="s">
        <v>51</v>
      </c>
      <c r="X165" s="9">
        <v>348</v>
      </c>
      <c r="Y165" s="8">
        <v>2023</v>
      </c>
      <c r="Z165" s="10">
        <v>22.73</v>
      </c>
      <c r="AA165" s="8">
        <v>2023</v>
      </c>
    </row>
    <row r="166" spans="1:27" ht="18" x14ac:dyDescent="0.45">
      <c r="A166" s="12"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0">
        <v>1.4</v>
      </c>
      <c r="W166" s="8">
        <v>2024</v>
      </c>
      <c r="X166" s="7" t="s">
        <v>51</v>
      </c>
      <c r="Y166" s="7" t="s">
        <v>51</v>
      </c>
      <c r="Z166" s="10">
        <v>1.94547</v>
      </c>
      <c r="AA166" s="8">
        <v>2022</v>
      </c>
    </row>
    <row r="167" spans="1:27" ht="18" x14ac:dyDescent="0.45">
      <c r="A167" s="12"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0">
        <v>0.294261893</v>
      </c>
      <c r="W167" s="8">
        <v>2023</v>
      </c>
      <c r="X167" s="7" t="s">
        <v>51</v>
      </c>
      <c r="Y167" s="7" t="s">
        <v>51</v>
      </c>
      <c r="Z167" s="7" t="s">
        <v>51</v>
      </c>
      <c r="AA167" s="7" t="s">
        <v>51</v>
      </c>
    </row>
    <row r="168" spans="1:27" ht="18" x14ac:dyDescent="0.45">
      <c r="A168" s="12"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2"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2"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0">
        <v>0.04</v>
      </c>
      <c r="W170" s="8">
        <v>2024</v>
      </c>
      <c r="X170" s="7" t="s">
        <v>51</v>
      </c>
      <c r="Y170" s="7" t="s">
        <v>51</v>
      </c>
      <c r="Z170" s="7" t="s">
        <v>51</v>
      </c>
      <c r="AA170" s="7" t="s">
        <v>51</v>
      </c>
    </row>
    <row r="171" spans="1:27" ht="36" x14ac:dyDescent="0.45">
      <c r="A171" s="12"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0">
        <v>4.1100000000000003</v>
      </c>
      <c r="W171" s="8">
        <v>2024</v>
      </c>
      <c r="X171" s="7" t="s">
        <v>51</v>
      </c>
      <c r="Y171" s="7" t="s">
        <v>51</v>
      </c>
      <c r="Z171" s="10">
        <v>155.86000000000001</v>
      </c>
      <c r="AA171" s="8">
        <v>2024</v>
      </c>
    </row>
    <row r="172" spans="1:27" ht="18" x14ac:dyDescent="0.45">
      <c r="A172" s="12"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0">
        <v>0.02</v>
      </c>
      <c r="W172" s="8">
        <v>2024</v>
      </c>
      <c r="X172" s="7" t="s">
        <v>51</v>
      </c>
      <c r="Y172" s="7" t="s">
        <v>51</v>
      </c>
      <c r="Z172" s="9">
        <v>0</v>
      </c>
      <c r="AA172" s="8">
        <v>2024</v>
      </c>
    </row>
    <row r="173" spans="1:27" ht="36" x14ac:dyDescent="0.45">
      <c r="A173" s="12"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1" t="s">
        <v>73</v>
      </c>
      <c r="V173" s="10">
        <v>0.41</v>
      </c>
      <c r="W173" s="8">
        <v>2024</v>
      </c>
      <c r="X173" s="7" t="s">
        <v>51</v>
      </c>
      <c r="Y173" s="7" t="s">
        <v>51</v>
      </c>
      <c r="Z173" s="10">
        <v>189.33</v>
      </c>
      <c r="AA173" s="8">
        <v>2024</v>
      </c>
    </row>
    <row r="174" spans="1:27" ht="18" x14ac:dyDescent="0.45">
      <c r="A174" s="12"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1" t="s">
        <v>73</v>
      </c>
      <c r="V174" s="7" t="s">
        <v>51</v>
      </c>
      <c r="W174" s="7" t="s">
        <v>51</v>
      </c>
      <c r="X174" s="9">
        <v>2545</v>
      </c>
      <c r="Y174" s="8">
        <v>2023</v>
      </c>
      <c r="Z174" s="7" t="s">
        <v>51</v>
      </c>
      <c r="AA174" s="7" t="s">
        <v>51</v>
      </c>
    </row>
    <row r="175" spans="1:27" ht="36" x14ac:dyDescent="0.45">
      <c r="A175" s="12"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0">
        <v>0.88</v>
      </c>
      <c r="W175" s="8">
        <v>2024</v>
      </c>
      <c r="X175" s="7" t="s">
        <v>51</v>
      </c>
      <c r="Y175" s="7" t="s">
        <v>51</v>
      </c>
      <c r="Z175" s="10">
        <v>56.68</v>
      </c>
      <c r="AA175" s="8">
        <v>2024</v>
      </c>
    </row>
    <row r="176" spans="1:27" ht="36" x14ac:dyDescent="0.45">
      <c r="A176" s="12"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1" t="s">
        <v>73</v>
      </c>
      <c r="V176" s="10">
        <v>0.11</v>
      </c>
      <c r="W176" s="8">
        <v>2024</v>
      </c>
      <c r="X176" s="7" t="s">
        <v>51</v>
      </c>
      <c r="Y176" s="7" t="s">
        <v>51</v>
      </c>
      <c r="Z176" s="10">
        <v>98.66</v>
      </c>
      <c r="AA176" s="8">
        <v>2024</v>
      </c>
    </row>
    <row r="177" spans="1:27" ht="36" x14ac:dyDescent="0.45">
      <c r="A177" s="12"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2"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0">
        <v>0.44</v>
      </c>
      <c r="W178" s="8">
        <v>2024</v>
      </c>
      <c r="X178" s="7" t="s">
        <v>51</v>
      </c>
      <c r="Y178" s="7" t="s">
        <v>51</v>
      </c>
      <c r="Z178" s="10">
        <v>529.41999999999996</v>
      </c>
      <c r="AA178" s="8">
        <v>2024</v>
      </c>
    </row>
    <row r="179" spans="1:27" ht="36" x14ac:dyDescent="0.45">
      <c r="A179" s="12"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0">
        <v>156.66</v>
      </c>
      <c r="AA179" s="8">
        <v>2024</v>
      </c>
    </row>
    <row r="180" spans="1:27" ht="18" x14ac:dyDescent="0.45">
      <c r="A180" s="12"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0">
        <v>16.34</v>
      </c>
      <c r="AA180" s="8">
        <v>2023</v>
      </c>
    </row>
    <row r="181" spans="1:27" ht="18" x14ac:dyDescent="0.45">
      <c r="A181" s="12"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0">
        <v>0.73</v>
      </c>
      <c r="AA181" s="8">
        <v>2023</v>
      </c>
    </row>
    <row r="182" spans="1:27" ht="18" x14ac:dyDescent="0.45">
      <c r="A182" s="12"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0">
        <v>1.5625607340000001</v>
      </c>
      <c r="W182" s="8">
        <v>2023</v>
      </c>
      <c r="X182" s="7" t="s">
        <v>51</v>
      </c>
      <c r="Y182" s="7" t="s">
        <v>51</v>
      </c>
      <c r="Z182" s="7" t="s">
        <v>51</v>
      </c>
      <c r="AA182" s="7" t="s">
        <v>51</v>
      </c>
    </row>
    <row r="183" spans="1:27" ht="18" x14ac:dyDescent="0.45">
      <c r="A183" s="12"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0">
        <v>2.4</v>
      </c>
      <c r="W183" s="8">
        <v>2024</v>
      </c>
      <c r="X183" s="7" t="s">
        <v>51</v>
      </c>
      <c r="Y183" s="7" t="s">
        <v>51</v>
      </c>
      <c r="Z183" s="7" t="s">
        <v>51</v>
      </c>
      <c r="AA183" s="7" t="s">
        <v>51</v>
      </c>
    </row>
    <row r="184" spans="1:27" ht="18" x14ac:dyDescent="0.45">
      <c r="A184" s="12"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0">
        <v>4.03</v>
      </c>
      <c r="W184" s="8">
        <v>2024</v>
      </c>
      <c r="X184" s="7" t="s">
        <v>51</v>
      </c>
      <c r="Y184" s="7" t="s">
        <v>51</v>
      </c>
      <c r="Z184" s="7" t="s">
        <v>51</v>
      </c>
      <c r="AA184" s="7" t="s">
        <v>51</v>
      </c>
    </row>
    <row r="185" spans="1:27" ht="18" x14ac:dyDescent="0.45">
      <c r="A185" s="12"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1" t="s">
        <v>90</v>
      </c>
      <c r="V185" s="7" t="s">
        <v>51</v>
      </c>
      <c r="W185" s="7" t="s">
        <v>51</v>
      </c>
      <c r="X185" s="9">
        <v>123</v>
      </c>
      <c r="Y185" s="8">
        <v>2023</v>
      </c>
      <c r="Z185" s="9">
        <v>0</v>
      </c>
      <c r="AA185" s="8">
        <v>2023</v>
      </c>
    </row>
    <row r="186" spans="1:27" ht="18" x14ac:dyDescent="0.45">
      <c r="A186" s="12"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0">
        <v>0.12</v>
      </c>
      <c r="W186" s="8">
        <v>2024</v>
      </c>
      <c r="X186" s="7" t="s">
        <v>51</v>
      </c>
      <c r="Y186" s="7" t="s">
        <v>51</v>
      </c>
      <c r="Z186" s="10">
        <v>126.74</v>
      </c>
      <c r="AA186" s="8">
        <v>2024</v>
      </c>
    </row>
    <row r="187" spans="1:27" ht="36" x14ac:dyDescent="0.45">
      <c r="A187" s="12"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2"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0">
        <v>43.51</v>
      </c>
      <c r="AA188" s="8">
        <v>2024</v>
      </c>
    </row>
    <row r="189" spans="1:27" ht="18" x14ac:dyDescent="0.45">
      <c r="A189" s="12"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0">
        <v>2.31</v>
      </c>
      <c r="W189" s="8">
        <v>2024</v>
      </c>
      <c r="X189" s="7" t="s">
        <v>51</v>
      </c>
      <c r="Y189" s="7" t="s">
        <v>51</v>
      </c>
      <c r="Z189" s="7" t="s">
        <v>51</v>
      </c>
      <c r="AA189" s="7" t="s">
        <v>51</v>
      </c>
    </row>
    <row r="190" spans="1:27" ht="18" x14ac:dyDescent="0.45">
      <c r="A190" s="12"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2"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1" t="s">
        <v>68</v>
      </c>
      <c r="T191" s="11" t="s">
        <v>90</v>
      </c>
      <c r="U191" s="11" t="s">
        <v>90</v>
      </c>
      <c r="V191" s="9">
        <v>0</v>
      </c>
      <c r="W191" s="8">
        <v>2022</v>
      </c>
      <c r="X191" s="7" t="s">
        <v>51</v>
      </c>
      <c r="Y191" s="7" t="s">
        <v>51</v>
      </c>
      <c r="Z191" s="9">
        <v>0</v>
      </c>
      <c r="AA191" s="8">
        <v>2024</v>
      </c>
    </row>
    <row r="192" spans="1:27" ht="18" x14ac:dyDescent="0.45">
      <c r="A192" s="12"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0">
        <v>0.43</v>
      </c>
      <c r="W192" s="8">
        <v>2024</v>
      </c>
      <c r="X192" s="7" t="s">
        <v>51</v>
      </c>
      <c r="Y192" s="7" t="s">
        <v>51</v>
      </c>
      <c r="Z192" s="10">
        <v>26.56</v>
      </c>
      <c r="AA192" s="8">
        <v>2024</v>
      </c>
    </row>
    <row r="193" spans="1:27" ht="18" x14ac:dyDescent="0.45">
      <c r="A193" s="12"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1" t="s">
        <v>68</v>
      </c>
      <c r="T193" s="9">
        <v>26000</v>
      </c>
      <c r="U193" s="9">
        <v>1100</v>
      </c>
      <c r="V193" s="10">
        <v>0.3</v>
      </c>
      <c r="W193" s="8">
        <v>2022</v>
      </c>
      <c r="X193" s="7" t="s">
        <v>51</v>
      </c>
      <c r="Y193" s="7" t="s">
        <v>51</v>
      </c>
      <c r="Z193" s="10">
        <v>6.7179000000000002</v>
      </c>
      <c r="AA193" s="8">
        <v>2022</v>
      </c>
    </row>
    <row r="194" spans="1:27" ht="18" x14ac:dyDescent="0.45">
      <c r="A194" s="12"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1" t="s">
        <v>90</v>
      </c>
      <c r="V194" s="7" t="s">
        <v>51</v>
      </c>
      <c r="W194" s="7" t="s">
        <v>51</v>
      </c>
      <c r="X194" s="7" t="s">
        <v>51</v>
      </c>
      <c r="Y194" s="7" t="s">
        <v>51</v>
      </c>
      <c r="Z194" s="9">
        <v>0</v>
      </c>
      <c r="AA194" s="8">
        <v>2024</v>
      </c>
    </row>
    <row r="195" spans="1:27" ht="36" x14ac:dyDescent="0.45">
      <c r="A195" s="12"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2"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2"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1" t="s">
        <v>111</v>
      </c>
      <c r="V197" s="7" t="s">
        <v>51</v>
      </c>
      <c r="W197" s="7" t="s">
        <v>51</v>
      </c>
      <c r="X197" s="7" t="s">
        <v>51</v>
      </c>
      <c r="Y197" s="7" t="s">
        <v>51</v>
      </c>
      <c r="Z197" s="7" t="s">
        <v>51</v>
      </c>
      <c r="AA197" s="7" t="s">
        <v>51</v>
      </c>
    </row>
    <row r="198" spans="1:27" ht="36" x14ac:dyDescent="0.45">
      <c r="A198" s="12"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2"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1" t="s">
        <v>111</v>
      </c>
      <c r="V199" s="7" t="s">
        <v>51</v>
      </c>
      <c r="W199" s="7" t="s">
        <v>51</v>
      </c>
      <c r="X199" s="9">
        <v>15</v>
      </c>
      <c r="Y199" s="8">
        <v>2023</v>
      </c>
      <c r="Z199" s="9">
        <v>0</v>
      </c>
      <c r="AA199" s="8">
        <v>2023</v>
      </c>
    </row>
    <row r="200" spans="1:27" ht="18" x14ac:dyDescent="0.45">
      <c r="A200" s="12"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1" t="s">
        <v>111</v>
      </c>
      <c r="V200" s="7" t="s">
        <v>51</v>
      </c>
      <c r="W200" s="7" t="s">
        <v>51</v>
      </c>
      <c r="X200" s="9">
        <v>75</v>
      </c>
      <c r="Y200" s="8">
        <v>2023</v>
      </c>
      <c r="Z200" s="10">
        <v>4.8499999999999996</v>
      </c>
      <c r="AA200" s="8">
        <v>2023</v>
      </c>
    </row>
    <row r="201" spans="1:27" ht="18" x14ac:dyDescent="0.45">
      <c r="A201" s="12"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1" t="s">
        <v>73</v>
      </c>
      <c r="V201" s="7" t="s">
        <v>51</v>
      </c>
      <c r="W201" s="7" t="s">
        <v>51</v>
      </c>
      <c r="X201" s="7" t="s">
        <v>51</v>
      </c>
      <c r="Y201" s="7" t="s">
        <v>51</v>
      </c>
      <c r="Z201" s="7" t="s">
        <v>51</v>
      </c>
      <c r="AA201" s="7" t="s">
        <v>51</v>
      </c>
    </row>
    <row r="202" spans="1:27" ht="18" x14ac:dyDescent="0.45">
      <c r="A202" s="12"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0">
        <v>1.03</v>
      </c>
      <c r="W202" s="8">
        <v>2024</v>
      </c>
      <c r="X202" s="7" t="s">
        <v>51</v>
      </c>
      <c r="Y202" s="7" t="s">
        <v>51</v>
      </c>
      <c r="Z202" s="7" t="s">
        <v>51</v>
      </c>
      <c r="AA202" s="7" t="s">
        <v>51</v>
      </c>
    </row>
    <row r="203" spans="1:27" ht="18" x14ac:dyDescent="0.45">
      <c r="A203" s="12"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1" t="s">
        <v>90</v>
      </c>
      <c r="V203" s="7" t="s">
        <v>51</v>
      </c>
      <c r="W203" s="7" t="s">
        <v>51</v>
      </c>
      <c r="X203" s="9">
        <v>164</v>
      </c>
      <c r="Y203" s="8">
        <v>2023</v>
      </c>
      <c r="Z203" s="10">
        <v>31.65</v>
      </c>
      <c r="AA203" s="8">
        <v>2023</v>
      </c>
    </row>
    <row r="204" spans="1:27" ht="18" x14ac:dyDescent="0.45">
      <c r="A204" s="12"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0">
        <v>0.56999999999999995</v>
      </c>
      <c r="W204" s="8">
        <v>2024</v>
      </c>
      <c r="X204" s="7" t="s">
        <v>51</v>
      </c>
      <c r="Y204" s="7" t="s">
        <v>51</v>
      </c>
      <c r="Z204" s="10">
        <v>131.11000000000001</v>
      </c>
      <c r="AA204" s="8">
        <v>2024</v>
      </c>
    </row>
    <row r="205" spans="1:27" ht="18" x14ac:dyDescent="0.45">
      <c r="A205" s="12"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1" t="s">
        <v>73</v>
      </c>
      <c r="V205" s="7" t="s">
        <v>51</v>
      </c>
      <c r="W205" s="7" t="s">
        <v>51</v>
      </c>
      <c r="X205" s="9">
        <v>569</v>
      </c>
      <c r="Y205" s="8">
        <v>2023</v>
      </c>
      <c r="Z205" s="10">
        <v>5.87</v>
      </c>
      <c r="AA205" s="8">
        <v>2023</v>
      </c>
    </row>
    <row r="206" spans="1:27" ht="18" x14ac:dyDescent="0.45">
      <c r="A206" s="12"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0">
        <v>3.21</v>
      </c>
      <c r="W206" s="8">
        <v>2024</v>
      </c>
      <c r="X206" s="7" t="s">
        <v>51</v>
      </c>
      <c r="Y206" s="7" t="s">
        <v>51</v>
      </c>
      <c r="Z206" s="7" t="s">
        <v>51</v>
      </c>
      <c r="AA206" s="7" t="s">
        <v>51</v>
      </c>
    </row>
    <row r="207" spans="1:27" ht="36" x14ac:dyDescent="0.45">
      <c r="A207" s="12"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1" t="s">
        <v>68</v>
      </c>
      <c r="T207" s="9">
        <v>3100</v>
      </c>
      <c r="U207" s="11" t="s">
        <v>73</v>
      </c>
      <c r="V207" s="7" t="s">
        <v>51</v>
      </c>
      <c r="W207" s="7" t="s">
        <v>51</v>
      </c>
      <c r="X207" s="7" t="s">
        <v>51</v>
      </c>
      <c r="Y207" s="7" t="s">
        <v>51</v>
      </c>
      <c r="Z207" s="7" t="s">
        <v>51</v>
      </c>
      <c r="AA207" s="7" t="s">
        <v>51</v>
      </c>
    </row>
    <row r="208" spans="1:27" ht="18" x14ac:dyDescent="0.45">
      <c r="A208" s="12"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2"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2"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2"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0">
        <v>6.65</v>
      </c>
      <c r="W211" s="8">
        <v>2024</v>
      </c>
      <c r="X211" s="7" t="s">
        <v>51</v>
      </c>
      <c r="Y211" s="7" t="s">
        <v>51</v>
      </c>
      <c r="Z211" s="7" t="s">
        <v>51</v>
      </c>
      <c r="AA211" s="7" t="s">
        <v>51</v>
      </c>
    </row>
    <row r="212" spans="1:27" ht="18" x14ac:dyDescent="0.45">
      <c r="A212" s="12"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0">
        <v>5.9</v>
      </c>
      <c r="AA212" s="8">
        <v>2023</v>
      </c>
    </row>
    <row r="213" spans="1:27" ht="36" x14ac:dyDescent="0.45">
      <c r="A213" s="12"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2"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2"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0">
        <v>86.169129999999996</v>
      </c>
      <c r="AA215" s="8">
        <v>2022</v>
      </c>
    </row>
    <row r="216" spans="1:27" ht="18" x14ac:dyDescent="0.45">
      <c r="A216" s="12"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0">
        <v>4.63</v>
      </c>
      <c r="W216" s="8">
        <v>2024</v>
      </c>
      <c r="X216" s="7" t="s">
        <v>51</v>
      </c>
      <c r="Y216" s="7" t="s">
        <v>51</v>
      </c>
      <c r="Z216" s="7" t="s">
        <v>51</v>
      </c>
      <c r="AA216" s="7" t="s">
        <v>51</v>
      </c>
    </row>
    <row r="217" spans="1:27" ht="18" x14ac:dyDescent="0.45">
      <c r="A217" s="12"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2"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2"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2"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0">
        <v>2.17</v>
      </c>
      <c r="W220" s="8">
        <v>2020</v>
      </c>
      <c r="X220" s="7" t="s">
        <v>51</v>
      </c>
      <c r="Y220" s="7" t="s">
        <v>51</v>
      </c>
      <c r="Z220" s="7" t="s">
        <v>51</v>
      </c>
      <c r="AA220" s="7" t="s">
        <v>51</v>
      </c>
    </row>
    <row r="221" spans="1:27" ht="18" x14ac:dyDescent="0.45">
      <c r="A221" s="12"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3" t="s">
        <v>506</v>
      </c>
    </row>
    <row r="224" spans="1:27" ht="18" customHeight="1" x14ac:dyDescent="0.2">
      <c r="A224" s="50" t="s">
        <v>507</v>
      </c>
      <c r="B224" s="51"/>
      <c r="C224" s="51"/>
      <c r="D224" s="51"/>
      <c r="E224" s="51"/>
      <c r="F224" s="51"/>
      <c r="G224" s="51"/>
      <c r="H224" s="51"/>
      <c r="I224" s="51"/>
      <c r="J224" s="51"/>
      <c r="K224" s="51"/>
      <c r="L224" s="51"/>
      <c r="M224" s="51"/>
      <c r="N224" s="51"/>
      <c r="O224" s="51"/>
      <c r="P224" s="51"/>
    </row>
    <row r="225" spans="1:16" ht="18" customHeight="1" x14ac:dyDescent="0.2">
      <c r="A225" s="50" t="s">
        <v>508</v>
      </c>
      <c r="B225" s="51"/>
      <c r="C225" s="51"/>
      <c r="D225" s="51"/>
      <c r="E225" s="51"/>
      <c r="F225" s="51"/>
      <c r="G225" s="51"/>
      <c r="H225" s="51"/>
      <c r="I225" s="51"/>
      <c r="J225" s="51"/>
      <c r="K225" s="51"/>
      <c r="L225" s="51"/>
      <c r="M225" s="51"/>
      <c r="N225" s="51"/>
      <c r="O225" s="51"/>
      <c r="P225" s="51"/>
    </row>
    <row r="226" spans="1:16" ht="18" customHeight="1" x14ac:dyDescent="0.2">
      <c r="A226" s="50" t="s">
        <v>509</v>
      </c>
      <c r="B226" s="51"/>
      <c r="C226" s="51"/>
      <c r="D226" s="51"/>
      <c r="E226" s="51"/>
      <c r="F226" s="51"/>
      <c r="G226" s="51"/>
      <c r="H226" s="51"/>
      <c r="I226" s="51"/>
      <c r="J226" s="51"/>
      <c r="K226" s="51"/>
      <c r="L226" s="51"/>
      <c r="M226" s="51"/>
      <c r="N226" s="51"/>
      <c r="O226" s="51"/>
      <c r="P226" s="51"/>
    </row>
    <row r="227" spans="1:16" ht="18" customHeight="1" x14ac:dyDescent="0.2">
      <c r="A227" s="50" t="s">
        <v>510</v>
      </c>
      <c r="B227" s="51"/>
      <c r="C227" s="51"/>
      <c r="D227" s="51"/>
      <c r="E227" s="51"/>
      <c r="F227" s="51"/>
      <c r="G227" s="51"/>
      <c r="H227" s="51"/>
      <c r="I227" s="51"/>
      <c r="J227" s="51"/>
      <c r="K227" s="51"/>
      <c r="L227" s="51"/>
      <c r="M227" s="51"/>
      <c r="N227" s="51"/>
      <c r="O227" s="51"/>
      <c r="P227" s="51"/>
    </row>
    <row r="228" spans="1:16" ht="18" customHeight="1" x14ac:dyDescent="0.2">
      <c r="A228" s="50" t="s">
        <v>511</v>
      </c>
      <c r="B228" s="51"/>
      <c r="C228" s="51"/>
      <c r="D228" s="51"/>
      <c r="E228" s="51"/>
      <c r="F228" s="51"/>
      <c r="G228" s="51"/>
      <c r="H228" s="51"/>
      <c r="I228" s="51"/>
      <c r="J228" s="51"/>
      <c r="K228" s="51"/>
      <c r="L228" s="51"/>
      <c r="M228" s="51"/>
      <c r="N228" s="51"/>
      <c r="O228" s="51"/>
      <c r="P228" s="51"/>
    </row>
    <row r="229" spans="1:16" ht="18" customHeight="1" x14ac:dyDescent="0.2">
      <c r="A229" s="50" t="s">
        <v>512</v>
      </c>
      <c r="B229" s="51"/>
      <c r="C229" s="51"/>
      <c r="D229" s="51"/>
      <c r="E229" s="51"/>
      <c r="F229" s="51"/>
      <c r="G229" s="51"/>
      <c r="H229" s="51"/>
      <c r="I229" s="51"/>
      <c r="J229" s="51"/>
      <c r="K229" s="51"/>
      <c r="L229" s="51"/>
      <c r="M229" s="51"/>
      <c r="N229" s="51"/>
      <c r="O229" s="51"/>
      <c r="P229" s="51"/>
    </row>
    <row r="230" spans="1:16" ht="18" customHeight="1" x14ac:dyDescent="0.2">
      <c r="A230" s="50" t="s">
        <v>513</v>
      </c>
      <c r="B230" s="51"/>
      <c r="C230" s="51"/>
      <c r="D230" s="51"/>
      <c r="E230" s="51"/>
      <c r="F230" s="51"/>
      <c r="G230" s="51"/>
      <c r="H230" s="51"/>
      <c r="I230" s="51"/>
      <c r="J230" s="51"/>
      <c r="K230" s="51"/>
      <c r="L230" s="51"/>
      <c r="M230" s="51"/>
      <c r="N230" s="51"/>
      <c r="O230" s="51"/>
      <c r="P230" s="51"/>
    </row>
    <row r="231" spans="1:16" ht="18" customHeight="1" x14ac:dyDescent="0.2">
      <c r="A231" s="52" t="s">
        <v>514</v>
      </c>
      <c r="B231" s="51"/>
      <c r="C231" s="51"/>
      <c r="D231" s="51"/>
      <c r="E231" s="51"/>
      <c r="F231" s="51"/>
      <c r="G231" s="51"/>
      <c r="H231" s="51"/>
      <c r="I231" s="51"/>
      <c r="J231" s="51"/>
      <c r="K231" s="51"/>
      <c r="L231" s="51"/>
      <c r="M231" s="51"/>
      <c r="N231" s="51"/>
      <c r="O231" s="51"/>
      <c r="P231" s="51"/>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93"/>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2" t="s">
        <v>516</v>
      </c>
      <c r="B2" s="51"/>
      <c r="C2" s="51"/>
      <c r="D2" s="51"/>
      <c r="E2" s="51"/>
      <c r="F2" s="51"/>
      <c r="G2" s="51"/>
      <c r="H2" s="51"/>
    </row>
    <row r="4" spans="1:8" ht="22.05" customHeight="1" x14ac:dyDescent="0.5">
      <c r="A4" s="13" t="s">
        <v>517</v>
      </c>
    </row>
    <row r="5" spans="1:8" ht="30" customHeight="1" x14ac:dyDescent="0.2">
      <c r="A5" s="4" t="s">
        <v>518</v>
      </c>
      <c r="B5" s="4" t="s">
        <v>519</v>
      </c>
      <c r="C5" s="4" t="s">
        <v>520</v>
      </c>
      <c r="D5" s="4"/>
      <c r="E5" s="4"/>
      <c r="F5" s="4" t="s">
        <v>521</v>
      </c>
      <c r="G5" s="4"/>
      <c r="H5" s="4" t="s">
        <v>522</v>
      </c>
    </row>
    <row r="6" spans="1:8" ht="45" customHeight="1" x14ac:dyDescent="0.2">
      <c r="A6" s="15" t="s">
        <v>523</v>
      </c>
      <c r="B6" s="16" t="s">
        <v>524</v>
      </c>
      <c r="C6" s="53" t="s">
        <v>525</v>
      </c>
      <c r="D6" s="51"/>
      <c r="E6" s="51"/>
      <c r="F6" s="53" t="s">
        <v>526</v>
      </c>
      <c r="G6" s="51"/>
      <c r="H6" s="3" t="s">
        <v>527</v>
      </c>
    </row>
    <row r="7" spans="1:8" ht="19.95" customHeight="1" x14ac:dyDescent="0.2">
      <c r="A7" s="15" t="s">
        <v>528</v>
      </c>
      <c r="B7" s="16" t="s">
        <v>524</v>
      </c>
      <c r="C7" s="53" t="s">
        <v>525</v>
      </c>
      <c r="D7" s="51"/>
      <c r="E7" s="51"/>
      <c r="F7" s="53" t="s">
        <v>529</v>
      </c>
      <c r="G7" s="51"/>
      <c r="H7" s="3" t="s">
        <v>527</v>
      </c>
    </row>
    <row r="8" spans="1:8" ht="19.95" customHeight="1" x14ac:dyDescent="0.2">
      <c r="A8" s="15" t="s">
        <v>530</v>
      </c>
      <c r="B8" s="16" t="s">
        <v>524</v>
      </c>
      <c r="C8" s="53" t="s">
        <v>525</v>
      </c>
      <c r="D8" s="51"/>
      <c r="E8" s="51"/>
      <c r="F8" s="53" t="s">
        <v>531</v>
      </c>
      <c r="G8" s="51"/>
      <c r="H8" s="3" t="s">
        <v>527</v>
      </c>
    </row>
    <row r="9" spans="1:8" ht="60" customHeight="1" x14ac:dyDescent="0.2">
      <c r="A9" s="15" t="s">
        <v>532</v>
      </c>
      <c r="B9" s="17" t="s">
        <v>76</v>
      </c>
      <c r="C9" s="53" t="s">
        <v>525</v>
      </c>
      <c r="D9" s="51"/>
      <c r="E9" s="51"/>
      <c r="F9" s="53" t="s">
        <v>533</v>
      </c>
      <c r="G9" s="51"/>
      <c r="H9" s="3" t="s">
        <v>534</v>
      </c>
    </row>
    <row r="10" spans="1:8" ht="19.95" customHeight="1" x14ac:dyDescent="0.2">
      <c r="A10" s="15" t="s">
        <v>523</v>
      </c>
      <c r="B10" s="18" t="s">
        <v>535</v>
      </c>
      <c r="C10" s="53" t="s">
        <v>536</v>
      </c>
      <c r="D10" s="51"/>
      <c r="E10" s="51"/>
      <c r="F10" s="53" t="s">
        <v>537</v>
      </c>
      <c r="G10" s="51"/>
      <c r="H10" s="3" t="s">
        <v>538</v>
      </c>
    </row>
    <row r="11" spans="1:8" ht="19.95" customHeight="1" x14ac:dyDescent="0.2">
      <c r="A11" s="15" t="s">
        <v>528</v>
      </c>
      <c r="B11" s="18" t="s">
        <v>535</v>
      </c>
      <c r="C11" s="53" t="s">
        <v>536</v>
      </c>
      <c r="D11" s="51"/>
      <c r="E11" s="51"/>
      <c r="F11" s="53" t="s">
        <v>539</v>
      </c>
      <c r="G11" s="51"/>
      <c r="H11" s="3" t="s">
        <v>538</v>
      </c>
    </row>
    <row r="12" spans="1:8" ht="30" customHeight="1" x14ac:dyDescent="0.2">
      <c r="A12" s="15" t="s">
        <v>530</v>
      </c>
      <c r="B12" s="18" t="s">
        <v>535</v>
      </c>
      <c r="C12" s="53" t="s">
        <v>536</v>
      </c>
      <c r="D12" s="51"/>
      <c r="E12" s="51"/>
      <c r="F12" s="53" t="s">
        <v>540</v>
      </c>
      <c r="G12" s="51"/>
      <c r="H12" s="3" t="s">
        <v>541</v>
      </c>
    </row>
    <row r="13" spans="1:8" ht="30" customHeight="1" x14ac:dyDescent="0.2">
      <c r="A13" s="15" t="s">
        <v>532</v>
      </c>
      <c r="B13" s="18" t="s">
        <v>535</v>
      </c>
      <c r="C13" s="53" t="s">
        <v>536</v>
      </c>
      <c r="D13" s="51"/>
      <c r="E13" s="51"/>
      <c r="F13" s="53" t="s">
        <v>542</v>
      </c>
      <c r="G13" s="51"/>
      <c r="H13" s="3" t="s">
        <v>543</v>
      </c>
    </row>
    <row r="14" spans="1:8" ht="45" customHeight="1" x14ac:dyDescent="0.2">
      <c r="A14" s="15" t="s">
        <v>523</v>
      </c>
      <c r="B14" s="16" t="s">
        <v>524</v>
      </c>
      <c r="C14" s="53" t="s">
        <v>544</v>
      </c>
      <c r="D14" s="51"/>
      <c r="E14" s="51"/>
      <c r="F14" s="53" t="s">
        <v>545</v>
      </c>
      <c r="G14" s="51"/>
      <c r="H14" s="3" t="s">
        <v>546</v>
      </c>
    </row>
    <row r="15" spans="1:8" ht="45" customHeight="1" x14ac:dyDescent="0.2">
      <c r="A15" s="15" t="s">
        <v>528</v>
      </c>
      <c r="B15" s="16" t="s">
        <v>524</v>
      </c>
      <c r="C15" s="53" t="s">
        <v>544</v>
      </c>
      <c r="D15" s="51"/>
      <c r="E15" s="51"/>
      <c r="F15" s="53" t="s">
        <v>547</v>
      </c>
      <c r="G15" s="51"/>
      <c r="H15" s="3" t="s">
        <v>546</v>
      </c>
    </row>
    <row r="16" spans="1:8" ht="45" customHeight="1" x14ac:dyDescent="0.2">
      <c r="A16" s="15" t="s">
        <v>530</v>
      </c>
      <c r="B16" s="16" t="s">
        <v>524</v>
      </c>
      <c r="C16" s="53" t="s">
        <v>544</v>
      </c>
      <c r="D16" s="51"/>
      <c r="E16" s="51"/>
      <c r="F16" s="53" t="s">
        <v>548</v>
      </c>
      <c r="G16" s="51"/>
      <c r="H16" s="3" t="s">
        <v>546</v>
      </c>
    </row>
    <row r="17" spans="1:8" ht="45" customHeight="1" x14ac:dyDescent="0.2">
      <c r="A17" s="15" t="s">
        <v>532</v>
      </c>
      <c r="B17" s="16" t="s">
        <v>524</v>
      </c>
      <c r="C17" s="53" t="s">
        <v>544</v>
      </c>
      <c r="D17" s="51"/>
      <c r="E17" s="51"/>
      <c r="F17" s="53" t="s">
        <v>549</v>
      </c>
      <c r="G17" s="51"/>
      <c r="H17" s="3" t="s">
        <v>546</v>
      </c>
    </row>
    <row r="18" spans="1:8" ht="30" customHeight="1" x14ac:dyDescent="0.2">
      <c r="A18" s="15" t="s">
        <v>523</v>
      </c>
      <c r="B18" s="16" t="s">
        <v>524</v>
      </c>
      <c r="C18" s="53" t="s">
        <v>550</v>
      </c>
      <c r="D18" s="51"/>
      <c r="E18" s="51"/>
      <c r="F18" s="53" t="s">
        <v>551</v>
      </c>
      <c r="G18" s="51"/>
      <c r="H18" s="3" t="s">
        <v>552</v>
      </c>
    </row>
    <row r="19" spans="1:8" ht="30" customHeight="1" x14ac:dyDescent="0.2">
      <c r="A19" s="15" t="s">
        <v>528</v>
      </c>
      <c r="B19" s="16" t="s">
        <v>524</v>
      </c>
      <c r="C19" s="53" t="s">
        <v>550</v>
      </c>
      <c r="D19" s="51"/>
      <c r="E19" s="51"/>
      <c r="F19" s="53" t="s">
        <v>553</v>
      </c>
      <c r="G19" s="51"/>
      <c r="H19" s="3" t="s">
        <v>552</v>
      </c>
    </row>
    <row r="20" spans="1:8" ht="30" customHeight="1" x14ac:dyDescent="0.2">
      <c r="A20" s="15" t="s">
        <v>530</v>
      </c>
      <c r="B20" s="16" t="s">
        <v>524</v>
      </c>
      <c r="C20" s="53" t="s">
        <v>550</v>
      </c>
      <c r="D20" s="51"/>
      <c r="E20" s="51"/>
      <c r="F20" s="53" t="s">
        <v>554</v>
      </c>
      <c r="G20" s="51"/>
      <c r="H20" s="3" t="s">
        <v>552</v>
      </c>
    </row>
    <row r="21" spans="1:8" ht="30" customHeight="1" x14ac:dyDescent="0.2">
      <c r="A21" s="15" t="s">
        <v>532</v>
      </c>
      <c r="B21" s="17" t="s">
        <v>76</v>
      </c>
      <c r="C21" s="53" t="s">
        <v>550</v>
      </c>
      <c r="D21" s="51"/>
      <c r="E21" s="51"/>
      <c r="F21" s="53" t="s">
        <v>555</v>
      </c>
      <c r="G21" s="51"/>
      <c r="H21" s="3" t="s">
        <v>556</v>
      </c>
    </row>
    <row r="23" spans="1:8" ht="22.05" customHeight="1" x14ac:dyDescent="0.5">
      <c r="A23" s="13" t="s">
        <v>557</v>
      </c>
    </row>
    <row r="24" spans="1:8" ht="30" customHeight="1" x14ac:dyDescent="0.2">
      <c r="A24" s="4" t="s">
        <v>22</v>
      </c>
      <c r="B24" s="4" t="s">
        <v>519</v>
      </c>
      <c r="C24" s="4" t="s">
        <v>3</v>
      </c>
      <c r="D24" s="4" t="s">
        <v>558</v>
      </c>
      <c r="E24" s="4"/>
      <c r="F24" s="4"/>
      <c r="G24" s="4"/>
      <c r="H24" s="4" t="s">
        <v>522</v>
      </c>
    </row>
    <row r="25" spans="1:8" ht="75" customHeight="1" x14ac:dyDescent="0.45">
      <c r="A25" s="19" t="s">
        <v>86</v>
      </c>
      <c r="B25" s="17" t="s">
        <v>76</v>
      </c>
      <c r="C25" s="3" t="s">
        <v>559</v>
      </c>
      <c r="D25" s="3" t="s">
        <v>77</v>
      </c>
      <c r="H25" s="3" t="s">
        <v>560</v>
      </c>
    </row>
    <row r="26" spans="1:8" ht="60" customHeight="1" x14ac:dyDescent="0.45">
      <c r="A26" s="19" t="s">
        <v>74</v>
      </c>
      <c r="B26" s="17" t="s">
        <v>76</v>
      </c>
      <c r="C26" s="3" t="s">
        <v>561</v>
      </c>
      <c r="D26" s="3" t="s">
        <v>77</v>
      </c>
      <c r="H26" s="3" t="s">
        <v>560</v>
      </c>
    </row>
    <row r="27" spans="1:8" ht="60" customHeight="1" x14ac:dyDescent="0.45">
      <c r="A27" s="19" t="s">
        <v>91</v>
      </c>
      <c r="B27" s="17" t="s">
        <v>76</v>
      </c>
      <c r="C27" s="3" t="s">
        <v>562</v>
      </c>
      <c r="D27" s="3" t="s">
        <v>93</v>
      </c>
      <c r="H27" s="3" t="s">
        <v>560</v>
      </c>
    </row>
    <row r="28" spans="1:8" ht="90" customHeight="1" x14ac:dyDescent="0.45">
      <c r="A28" s="19" t="s">
        <v>52</v>
      </c>
      <c r="B28" s="18" t="s">
        <v>55</v>
      </c>
      <c r="C28" s="3" t="s">
        <v>563</v>
      </c>
      <c r="D28" s="3" t="s">
        <v>56</v>
      </c>
      <c r="H28" s="3" t="s">
        <v>564</v>
      </c>
    </row>
    <row r="29" spans="1:8" ht="45" customHeight="1" x14ac:dyDescent="0.45">
      <c r="A29" s="19" t="s">
        <v>96</v>
      </c>
      <c r="B29" s="18" t="s">
        <v>55</v>
      </c>
      <c r="C29" s="3" t="s">
        <v>565</v>
      </c>
      <c r="D29" s="3" t="s">
        <v>98</v>
      </c>
      <c r="H29" s="3" t="s">
        <v>566</v>
      </c>
    </row>
    <row r="30" spans="1:8" ht="45" customHeight="1" x14ac:dyDescent="0.45">
      <c r="A30" s="19" t="s">
        <v>104</v>
      </c>
      <c r="B30" s="18" t="s">
        <v>55</v>
      </c>
      <c r="C30" s="3" t="s">
        <v>567</v>
      </c>
      <c r="D30" s="3" t="s">
        <v>98</v>
      </c>
      <c r="H30" s="3" t="s">
        <v>566</v>
      </c>
    </row>
    <row r="32" spans="1:8" ht="22.05" customHeight="1" x14ac:dyDescent="0.5">
      <c r="A32" s="13" t="s">
        <v>568</v>
      </c>
    </row>
    <row r="33" spans="1:8" ht="18" x14ac:dyDescent="0.45">
      <c r="A33" s="20" t="s">
        <v>569</v>
      </c>
    </row>
    <row r="34" spans="1:8" ht="31.95" customHeight="1" x14ac:dyDescent="0.2">
      <c r="A34" s="50" t="s">
        <v>570</v>
      </c>
      <c r="B34" s="51"/>
      <c r="C34" s="51"/>
      <c r="D34" s="51"/>
      <c r="E34" s="51"/>
      <c r="F34" s="51"/>
      <c r="G34" s="51"/>
      <c r="H34" s="51"/>
    </row>
    <row r="35" spans="1:8" ht="79.95" customHeight="1" x14ac:dyDescent="0.2">
      <c r="A35" s="50" t="s">
        <v>571</v>
      </c>
      <c r="B35" s="51"/>
      <c r="C35" s="51"/>
      <c r="D35" s="51"/>
      <c r="E35" s="51"/>
      <c r="F35" s="51"/>
      <c r="G35" s="51"/>
      <c r="H35" s="51"/>
    </row>
    <row r="36" spans="1:8" ht="31.95" customHeight="1" x14ac:dyDescent="0.2">
      <c r="A36" s="50" t="s">
        <v>572</v>
      </c>
      <c r="B36" s="51"/>
      <c r="C36" s="51"/>
      <c r="D36" s="51"/>
      <c r="E36" s="51"/>
      <c r="F36" s="51"/>
      <c r="G36" s="51"/>
      <c r="H36" s="51"/>
    </row>
    <row r="37" spans="1:8" ht="48" customHeight="1" x14ac:dyDescent="0.2">
      <c r="A37" s="50" t="s">
        <v>573</v>
      </c>
      <c r="B37" s="51"/>
      <c r="C37" s="51"/>
      <c r="D37" s="51"/>
      <c r="E37" s="51"/>
      <c r="F37" s="51"/>
      <c r="G37" s="51"/>
      <c r="H37" s="51"/>
    </row>
    <row r="38" spans="1:8" ht="31.95" customHeight="1" x14ac:dyDescent="0.2">
      <c r="A38" s="50" t="s">
        <v>574</v>
      </c>
      <c r="B38" s="51"/>
      <c r="C38" s="51"/>
      <c r="D38" s="51"/>
      <c r="E38" s="51"/>
      <c r="F38" s="51"/>
      <c r="G38" s="51"/>
      <c r="H38" s="51"/>
    </row>
    <row r="39" spans="1:8" ht="18" customHeight="1" x14ac:dyDescent="0.2">
      <c r="A39" s="50" t="s">
        <v>575</v>
      </c>
      <c r="B39" s="51"/>
      <c r="C39" s="51"/>
      <c r="D39" s="51"/>
      <c r="E39" s="51"/>
      <c r="F39" s="51"/>
      <c r="G39" s="51"/>
      <c r="H39" s="51"/>
    </row>
    <row r="40" spans="1:8" ht="31.95" customHeight="1" x14ac:dyDescent="0.2">
      <c r="A40" s="50" t="s">
        <v>576</v>
      </c>
      <c r="B40" s="51"/>
      <c r="C40" s="51"/>
      <c r="D40" s="51"/>
      <c r="E40" s="51"/>
      <c r="F40" s="51"/>
      <c r="G40" s="51"/>
      <c r="H40" s="51"/>
    </row>
    <row r="41" spans="1:8" ht="18" customHeight="1" x14ac:dyDescent="0.2">
      <c r="A41" s="52" t="s">
        <v>577</v>
      </c>
      <c r="B41" s="51"/>
      <c r="C41" s="51"/>
      <c r="D41" s="51"/>
      <c r="E41" s="51"/>
      <c r="F41" s="51"/>
      <c r="G41" s="51"/>
      <c r="H41" s="51"/>
    </row>
    <row r="43" spans="1:8" ht="18" x14ac:dyDescent="0.45">
      <c r="A43" s="20" t="s">
        <v>578</v>
      </c>
    </row>
    <row r="44" spans="1:8" ht="18" customHeight="1" x14ac:dyDescent="0.2">
      <c r="A44" s="50" t="s">
        <v>579</v>
      </c>
      <c r="B44" s="51"/>
      <c r="C44" s="51"/>
      <c r="D44" s="51"/>
      <c r="E44" s="51"/>
      <c r="F44" s="51"/>
      <c r="G44" s="51"/>
      <c r="H44" s="51"/>
    </row>
    <row r="45" spans="1:8" ht="48" customHeight="1" x14ac:dyDescent="0.2">
      <c r="A45" s="50" t="s">
        <v>580</v>
      </c>
      <c r="B45" s="51"/>
      <c r="C45" s="51"/>
      <c r="D45" s="51"/>
      <c r="E45" s="51"/>
      <c r="F45" s="51"/>
      <c r="G45" s="51"/>
      <c r="H45" s="51"/>
    </row>
    <row r="46" spans="1:8" ht="18" customHeight="1" x14ac:dyDescent="0.2">
      <c r="A46" s="50" t="s">
        <v>581</v>
      </c>
      <c r="B46" s="51"/>
      <c r="C46" s="51"/>
      <c r="D46" s="51"/>
      <c r="E46" s="51"/>
      <c r="F46" s="51"/>
      <c r="G46" s="51"/>
      <c r="H46" s="51"/>
    </row>
    <row r="47" spans="1:8" ht="18" customHeight="1" x14ac:dyDescent="0.2">
      <c r="A47" s="50" t="s">
        <v>582</v>
      </c>
      <c r="B47" s="51"/>
      <c r="C47" s="51"/>
      <c r="D47" s="51"/>
      <c r="E47" s="51"/>
      <c r="F47" s="51"/>
      <c r="G47" s="51"/>
      <c r="H47" s="51"/>
    </row>
    <row r="48" spans="1:8" ht="18" customHeight="1" x14ac:dyDescent="0.2">
      <c r="A48" s="50" t="s">
        <v>583</v>
      </c>
      <c r="B48" s="51"/>
      <c r="C48" s="51"/>
      <c r="D48" s="51"/>
      <c r="E48" s="51"/>
      <c r="F48" s="51"/>
      <c r="G48" s="51"/>
      <c r="H48" s="51"/>
    </row>
    <row r="49" spans="1:8" ht="18" customHeight="1" x14ac:dyDescent="0.2">
      <c r="A49" s="50" t="s">
        <v>584</v>
      </c>
      <c r="B49" s="51"/>
      <c r="C49" s="51"/>
      <c r="D49" s="51"/>
      <c r="E49" s="51"/>
      <c r="F49" s="51"/>
      <c r="G49" s="51"/>
      <c r="H49" s="51"/>
    </row>
    <row r="50" spans="1:8" ht="18" customHeight="1" x14ac:dyDescent="0.2">
      <c r="A50" s="52" t="s">
        <v>585</v>
      </c>
      <c r="B50" s="51"/>
      <c r="C50" s="51"/>
      <c r="D50" s="51"/>
      <c r="E50" s="51"/>
      <c r="F50" s="51"/>
      <c r="G50" s="51"/>
      <c r="H50" s="51"/>
    </row>
    <row r="52" spans="1:8" ht="18" x14ac:dyDescent="0.45">
      <c r="A52" s="20" t="s">
        <v>586</v>
      </c>
    </row>
    <row r="53" spans="1:8" ht="18" customHeight="1" x14ac:dyDescent="0.2">
      <c r="A53" s="50" t="s">
        <v>587</v>
      </c>
      <c r="B53" s="51"/>
      <c r="C53" s="51"/>
      <c r="D53" s="51"/>
      <c r="E53" s="51"/>
      <c r="F53" s="51"/>
      <c r="G53" s="51"/>
      <c r="H53" s="51"/>
    </row>
    <row r="54" spans="1:8" ht="48" customHeight="1" x14ac:dyDescent="0.2">
      <c r="A54" s="50" t="s">
        <v>588</v>
      </c>
      <c r="B54" s="51"/>
      <c r="C54" s="51"/>
      <c r="D54" s="51"/>
      <c r="E54" s="51"/>
      <c r="F54" s="51"/>
      <c r="G54" s="51"/>
      <c r="H54" s="51"/>
    </row>
    <row r="55" spans="1:8" ht="18" customHeight="1" x14ac:dyDescent="0.2">
      <c r="A55" s="50" t="s">
        <v>589</v>
      </c>
      <c r="B55" s="51"/>
      <c r="C55" s="51"/>
      <c r="D55" s="51"/>
      <c r="E55" s="51"/>
      <c r="F55" s="51"/>
      <c r="G55" s="51"/>
      <c r="H55" s="51"/>
    </row>
    <row r="56" spans="1:8" ht="18" customHeight="1" x14ac:dyDescent="0.2">
      <c r="A56" s="50" t="s">
        <v>590</v>
      </c>
      <c r="B56" s="51"/>
      <c r="C56" s="51"/>
      <c r="D56" s="51"/>
      <c r="E56" s="51"/>
      <c r="F56" s="51"/>
      <c r="G56" s="51"/>
      <c r="H56" s="51"/>
    </row>
    <row r="57" spans="1:8" ht="18" customHeight="1" x14ac:dyDescent="0.2">
      <c r="A57" s="50" t="s">
        <v>591</v>
      </c>
      <c r="B57" s="51"/>
      <c r="C57" s="51"/>
      <c r="D57" s="51"/>
      <c r="E57" s="51"/>
      <c r="F57" s="51"/>
      <c r="G57" s="51"/>
      <c r="H57" s="51"/>
    </row>
    <row r="58" spans="1:8" ht="18" customHeight="1" x14ac:dyDescent="0.2">
      <c r="A58" s="50" t="s">
        <v>592</v>
      </c>
      <c r="B58" s="51"/>
      <c r="C58" s="51"/>
      <c r="D58" s="51"/>
      <c r="E58" s="51"/>
      <c r="F58" s="51"/>
      <c r="G58" s="51"/>
      <c r="H58" s="51"/>
    </row>
    <row r="59" spans="1:8" ht="18" customHeight="1" x14ac:dyDescent="0.2">
      <c r="A59" s="52" t="s">
        <v>593</v>
      </c>
      <c r="B59" s="51"/>
      <c r="C59" s="51"/>
      <c r="D59" s="51"/>
      <c r="E59" s="51"/>
      <c r="F59" s="51"/>
      <c r="G59" s="51"/>
      <c r="H59" s="51"/>
    </row>
    <row r="61" spans="1:8" ht="18" x14ac:dyDescent="0.45">
      <c r="A61" s="20" t="s">
        <v>594</v>
      </c>
    </row>
    <row r="62" spans="1:8" ht="18" customHeight="1" x14ac:dyDescent="0.2">
      <c r="A62" s="50" t="s">
        <v>595</v>
      </c>
      <c r="B62" s="51"/>
      <c r="C62" s="51"/>
      <c r="D62" s="51"/>
      <c r="E62" s="51"/>
      <c r="F62" s="51"/>
      <c r="G62" s="51"/>
      <c r="H62" s="51"/>
    </row>
    <row r="63" spans="1:8" ht="31.95" customHeight="1" x14ac:dyDescent="0.2">
      <c r="A63" s="50" t="s">
        <v>596</v>
      </c>
      <c r="B63" s="51"/>
      <c r="C63" s="51"/>
      <c r="D63" s="51"/>
      <c r="E63" s="51"/>
      <c r="F63" s="51"/>
      <c r="G63" s="51"/>
      <c r="H63" s="51"/>
    </row>
    <row r="64" spans="1:8" ht="18" customHeight="1" x14ac:dyDescent="0.2">
      <c r="A64" s="50" t="s">
        <v>597</v>
      </c>
      <c r="B64" s="51"/>
      <c r="C64" s="51"/>
      <c r="D64" s="51"/>
      <c r="E64" s="51"/>
      <c r="F64" s="51"/>
      <c r="G64" s="51"/>
      <c r="H64" s="51"/>
    </row>
    <row r="65" spans="1:8" ht="18" customHeight="1" x14ac:dyDescent="0.2">
      <c r="A65" s="50" t="s">
        <v>598</v>
      </c>
      <c r="B65" s="51"/>
      <c r="C65" s="51"/>
      <c r="D65" s="51"/>
      <c r="E65" s="51"/>
      <c r="F65" s="51"/>
      <c r="G65" s="51"/>
      <c r="H65" s="51"/>
    </row>
    <row r="66" spans="1:8" ht="18" customHeight="1" x14ac:dyDescent="0.2">
      <c r="A66" s="50" t="s">
        <v>599</v>
      </c>
      <c r="B66" s="51"/>
      <c r="C66" s="51"/>
      <c r="D66" s="51"/>
      <c r="E66" s="51"/>
      <c r="F66" s="51"/>
      <c r="G66" s="51"/>
      <c r="H66" s="51"/>
    </row>
    <row r="67" spans="1:8" ht="18" customHeight="1" x14ac:dyDescent="0.2">
      <c r="A67" s="50" t="s">
        <v>600</v>
      </c>
      <c r="B67" s="51"/>
      <c r="C67" s="51"/>
      <c r="D67" s="51"/>
      <c r="E67" s="51"/>
      <c r="F67" s="51"/>
      <c r="G67" s="51"/>
      <c r="H67" s="51"/>
    </row>
    <row r="68" spans="1:8" ht="18" customHeight="1" x14ac:dyDescent="0.2">
      <c r="A68" s="52" t="s">
        <v>601</v>
      </c>
      <c r="B68" s="51"/>
      <c r="C68" s="51"/>
      <c r="D68" s="51"/>
      <c r="E68" s="51"/>
      <c r="F68" s="51"/>
      <c r="G68" s="51"/>
      <c r="H68" s="51"/>
    </row>
    <row r="70" spans="1:8" ht="18" x14ac:dyDescent="0.45">
      <c r="A70" s="20" t="s">
        <v>602</v>
      </c>
    </row>
    <row r="71" spans="1:8" ht="18" customHeight="1" x14ac:dyDescent="0.2">
      <c r="A71" s="50" t="s">
        <v>603</v>
      </c>
      <c r="B71" s="51"/>
      <c r="C71" s="51"/>
      <c r="D71" s="51"/>
      <c r="E71" s="51"/>
      <c r="F71" s="51"/>
      <c r="G71" s="51"/>
      <c r="H71" s="51"/>
    </row>
    <row r="72" spans="1:8" ht="31.95" customHeight="1" x14ac:dyDescent="0.2">
      <c r="A72" s="50" t="s">
        <v>604</v>
      </c>
      <c r="B72" s="51"/>
      <c r="C72" s="51"/>
      <c r="D72" s="51"/>
      <c r="E72" s="51"/>
      <c r="F72" s="51"/>
      <c r="G72" s="51"/>
      <c r="H72" s="51"/>
    </row>
    <row r="73" spans="1:8" ht="18" customHeight="1" x14ac:dyDescent="0.2">
      <c r="A73" s="50" t="s">
        <v>605</v>
      </c>
      <c r="B73" s="51"/>
      <c r="C73" s="51"/>
      <c r="D73" s="51"/>
      <c r="E73" s="51"/>
      <c r="F73" s="51"/>
      <c r="G73" s="51"/>
      <c r="H73" s="51"/>
    </row>
    <row r="74" spans="1:8" ht="18" customHeight="1" x14ac:dyDescent="0.2">
      <c r="A74" s="50" t="s">
        <v>606</v>
      </c>
      <c r="B74" s="51"/>
      <c r="C74" s="51"/>
      <c r="D74" s="51"/>
      <c r="E74" s="51"/>
      <c r="F74" s="51"/>
      <c r="G74" s="51"/>
      <c r="H74" s="51"/>
    </row>
    <row r="75" spans="1:8" ht="18" customHeight="1" x14ac:dyDescent="0.2">
      <c r="A75" s="50" t="s">
        <v>607</v>
      </c>
      <c r="B75" s="51"/>
      <c r="C75" s="51"/>
      <c r="D75" s="51"/>
      <c r="E75" s="51"/>
      <c r="F75" s="51"/>
      <c r="G75" s="51"/>
      <c r="H75" s="51"/>
    </row>
    <row r="76" spans="1:8" ht="18" customHeight="1" x14ac:dyDescent="0.2">
      <c r="A76" s="52" t="s">
        <v>608</v>
      </c>
      <c r="B76" s="51"/>
      <c r="C76" s="51"/>
      <c r="D76" s="51"/>
      <c r="E76" s="51"/>
      <c r="F76" s="51"/>
      <c r="G76" s="51"/>
      <c r="H76" s="51"/>
    </row>
    <row r="78" spans="1:8" ht="18" x14ac:dyDescent="0.45">
      <c r="A78" s="20" t="s">
        <v>609</v>
      </c>
    </row>
    <row r="79" spans="1:8" ht="18" customHeight="1" x14ac:dyDescent="0.2">
      <c r="A79" s="50" t="s">
        <v>610</v>
      </c>
      <c r="B79" s="51"/>
      <c r="C79" s="51"/>
      <c r="D79" s="51"/>
      <c r="E79" s="51"/>
      <c r="F79" s="51"/>
      <c r="G79" s="51"/>
      <c r="H79" s="51"/>
    </row>
    <row r="80" spans="1:8" ht="31.95" customHeight="1" x14ac:dyDescent="0.2">
      <c r="A80" s="50" t="s">
        <v>611</v>
      </c>
      <c r="B80" s="51"/>
      <c r="C80" s="51"/>
      <c r="D80" s="51"/>
      <c r="E80" s="51"/>
      <c r="F80" s="51"/>
      <c r="G80" s="51"/>
      <c r="H80" s="51"/>
    </row>
    <row r="81" spans="1:8" ht="18" customHeight="1" x14ac:dyDescent="0.2">
      <c r="A81" s="50" t="s">
        <v>612</v>
      </c>
      <c r="B81" s="51"/>
      <c r="C81" s="51"/>
      <c r="D81" s="51"/>
      <c r="E81" s="51"/>
      <c r="F81" s="51"/>
      <c r="G81" s="51"/>
      <c r="H81" s="51"/>
    </row>
    <row r="82" spans="1:8" ht="18" customHeight="1" x14ac:dyDescent="0.2">
      <c r="A82" s="50" t="s">
        <v>613</v>
      </c>
      <c r="B82" s="51"/>
      <c r="C82" s="51"/>
      <c r="D82" s="51"/>
      <c r="E82" s="51"/>
      <c r="F82" s="51"/>
      <c r="G82" s="51"/>
      <c r="H82" s="51"/>
    </row>
    <row r="83" spans="1:8" ht="18" customHeight="1" x14ac:dyDescent="0.2">
      <c r="A83" s="50" t="s">
        <v>614</v>
      </c>
      <c r="B83" s="51"/>
      <c r="C83" s="51"/>
      <c r="D83" s="51"/>
      <c r="E83" s="51"/>
      <c r="F83" s="51"/>
      <c r="G83" s="51"/>
      <c r="H83" s="51"/>
    </row>
    <row r="84" spans="1:8" ht="18" customHeight="1" x14ac:dyDescent="0.2">
      <c r="A84" s="52" t="s">
        <v>615</v>
      </c>
      <c r="B84" s="51"/>
      <c r="C84" s="51"/>
      <c r="D84" s="51"/>
      <c r="E84" s="51"/>
      <c r="F84" s="51"/>
      <c r="G84" s="51"/>
      <c r="H84" s="51"/>
    </row>
    <row r="86" spans="1:8" ht="18" x14ac:dyDescent="0.45">
      <c r="A86" s="20" t="s">
        <v>616</v>
      </c>
    </row>
    <row r="87" spans="1:8" ht="18" customHeight="1" x14ac:dyDescent="0.2">
      <c r="A87" s="50" t="s">
        <v>617</v>
      </c>
      <c r="B87" s="51"/>
      <c r="C87" s="51"/>
      <c r="D87" s="51"/>
      <c r="E87" s="51"/>
      <c r="F87" s="51"/>
      <c r="G87" s="51"/>
      <c r="H87" s="51"/>
    </row>
    <row r="88" spans="1:8" ht="31.95" customHeight="1" x14ac:dyDescent="0.2">
      <c r="A88" s="50" t="s">
        <v>618</v>
      </c>
      <c r="B88" s="51"/>
      <c r="C88" s="51"/>
      <c r="D88" s="51"/>
      <c r="E88" s="51"/>
      <c r="F88" s="51"/>
      <c r="G88" s="51"/>
      <c r="H88" s="51"/>
    </row>
    <row r="89" spans="1:8" ht="18" customHeight="1" x14ac:dyDescent="0.2">
      <c r="A89" s="50" t="s">
        <v>598</v>
      </c>
      <c r="B89" s="51"/>
      <c r="C89" s="51"/>
      <c r="D89" s="51"/>
      <c r="E89" s="51"/>
      <c r="F89" s="51"/>
      <c r="G89" s="51"/>
      <c r="H89" s="51"/>
    </row>
    <row r="90" spans="1:8" ht="18" customHeight="1" x14ac:dyDescent="0.2">
      <c r="A90" s="50" t="s">
        <v>619</v>
      </c>
      <c r="B90" s="51"/>
      <c r="C90" s="51"/>
      <c r="D90" s="51"/>
      <c r="E90" s="51"/>
      <c r="F90" s="51"/>
      <c r="G90" s="51"/>
      <c r="H90" s="51"/>
    </row>
    <row r="91" spans="1:8" ht="18" customHeight="1" x14ac:dyDescent="0.2">
      <c r="A91" s="52" t="s">
        <v>620</v>
      </c>
      <c r="B91" s="51"/>
      <c r="C91" s="51"/>
      <c r="D91" s="51"/>
      <c r="E91" s="51"/>
      <c r="F91" s="51"/>
      <c r="G91" s="51"/>
      <c r="H91" s="51"/>
    </row>
    <row r="93" spans="1:8" ht="22.05" customHeight="1" x14ac:dyDescent="0.5">
      <c r="A93" s="13" t="s">
        <v>621</v>
      </c>
    </row>
    <row r="94" spans="1:8" ht="30" customHeight="1" x14ac:dyDescent="0.2">
      <c r="A94" s="4" t="s">
        <v>622</v>
      </c>
      <c r="B94" s="4" t="s">
        <v>519</v>
      </c>
      <c r="C94" s="4" t="s">
        <v>623</v>
      </c>
      <c r="D94" s="4"/>
      <c r="E94" s="4"/>
      <c r="F94" s="4" t="s">
        <v>624</v>
      </c>
      <c r="G94" s="4"/>
      <c r="H94" s="4" t="s">
        <v>522</v>
      </c>
    </row>
    <row r="95" spans="1:8" ht="45" customHeight="1" x14ac:dyDescent="0.45">
      <c r="A95" s="19" t="s">
        <v>65</v>
      </c>
      <c r="B95" s="21" t="s">
        <v>76</v>
      </c>
      <c r="C95" s="53" t="s">
        <v>625</v>
      </c>
      <c r="D95" s="51"/>
      <c r="E95" s="51"/>
      <c r="F95" s="53" t="s">
        <v>626</v>
      </c>
      <c r="G95" s="51"/>
      <c r="H95" s="3" t="s">
        <v>627</v>
      </c>
    </row>
    <row r="96" spans="1:8" ht="45" customHeight="1" x14ac:dyDescent="0.45">
      <c r="A96" s="19" t="s">
        <v>85</v>
      </c>
      <c r="B96" s="21" t="s">
        <v>535</v>
      </c>
      <c r="C96" s="53" t="s">
        <v>628</v>
      </c>
      <c r="D96" s="51"/>
      <c r="E96" s="51"/>
      <c r="F96" s="53" t="s">
        <v>629</v>
      </c>
      <c r="G96" s="51"/>
      <c r="H96" s="3" t="s">
        <v>630</v>
      </c>
    </row>
    <row r="97" spans="1:8" ht="45" customHeight="1" x14ac:dyDescent="0.45">
      <c r="A97" s="19" t="s">
        <v>631</v>
      </c>
      <c r="B97" s="21" t="s">
        <v>55</v>
      </c>
      <c r="C97" s="53" t="s">
        <v>632</v>
      </c>
      <c r="D97" s="51"/>
      <c r="E97" s="51"/>
      <c r="F97" s="53" t="s">
        <v>633</v>
      </c>
      <c r="G97" s="51"/>
      <c r="H97" s="3" t="s">
        <v>634</v>
      </c>
    </row>
    <row r="98" spans="1:8" ht="45" customHeight="1" x14ac:dyDescent="0.45">
      <c r="A98" s="19" t="s">
        <v>635</v>
      </c>
      <c r="B98" s="21" t="s">
        <v>535</v>
      </c>
      <c r="C98" s="53" t="s">
        <v>636</v>
      </c>
      <c r="D98" s="51"/>
      <c r="E98" s="51"/>
      <c r="F98" s="53" t="s">
        <v>637</v>
      </c>
      <c r="G98" s="51"/>
      <c r="H98" s="3" t="s">
        <v>638</v>
      </c>
    </row>
    <row r="99" spans="1:8" ht="60" customHeight="1" x14ac:dyDescent="0.45">
      <c r="A99" s="19" t="s">
        <v>639</v>
      </c>
      <c r="B99" s="21" t="s">
        <v>535</v>
      </c>
      <c r="C99" s="53" t="s">
        <v>640</v>
      </c>
      <c r="D99" s="51"/>
      <c r="E99" s="51"/>
      <c r="F99" s="53" t="s">
        <v>641</v>
      </c>
      <c r="G99" s="51"/>
      <c r="H99" s="3" t="s">
        <v>642</v>
      </c>
    </row>
    <row r="101" spans="1:8" ht="22.05" customHeight="1" x14ac:dyDescent="0.5">
      <c r="A101" s="13"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19" t="s">
        <v>86</v>
      </c>
      <c r="B103" s="22" t="s">
        <v>65</v>
      </c>
      <c r="C103" s="3" t="s">
        <v>649</v>
      </c>
      <c r="D103" s="22" t="s">
        <v>650</v>
      </c>
      <c r="E103" s="3" t="s">
        <v>651</v>
      </c>
      <c r="F103" s="3" t="s">
        <v>652</v>
      </c>
      <c r="G103" s="23" t="s">
        <v>653</v>
      </c>
      <c r="H103" s="3" t="s">
        <v>654</v>
      </c>
    </row>
    <row r="104" spans="1:8" ht="45" customHeight="1" x14ac:dyDescent="0.45">
      <c r="A104" s="19" t="s">
        <v>86</v>
      </c>
      <c r="B104" s="22" t="s">
        <v>85</v>
      </c>
      <c r="C104" s="3" t="s">
        <v>655</v>
      </c>
      <c r="D104" s="22" t="s">
        <v>656</v>
      </c>
      <c r="E104" s="3" t="s">
        <v>651</v>
      </c>
      <c r="F104" s="3" t="s">
        <v>657</v>
      </c>
      <c r="G104" s="23" t="s">
        <v>658</v>
      </c>
      <c r="H104" s="3" t="s">
        <v>659</v>
      </c>
    </row>
    <row r="105" spans="1:8" ht="75" customHeight="1" x14ac:dyDescent="0.45">
      <c r="A105" s="19" t="s">
        <v>61</v>
      </c>
      <c r="B105" s="22" t="s">
        <v>65</v>
      </c>
      <c r="C105" s="3" t="s">
        <v>660</v>
      </c>
      <c r="D105" s="22" t="s">
        <v>661</v>
      </c>
      <c r="E105" s="3" t="s">
        <v>651</v>
      </c>
      <c r="F105" s="3" t="s">
        <v>662</v>
      </c>
      <c r="G105" s="23" t="s">
        <v>663</v>
      </c>
      <c r="H105" s="3" t="s">
        <v>654</v>
      </c>
    </row>
    <row r="106" spans="1:8" ht="45" customHeight="1" x14ac:dyDescent="0.45">
      <c r="A106" s="19" t="s">
        <v>61</v>
      </c>
      <c r="B106" s="22" t="s">
        <v>85</v>
      </c>
      <c r="C106" s="3" t="s">
        <v>664</v>
      </c>
      <c r="D106" s="22" t="s">
        <v>665</v>
      </c>
      <c r="E106" s="3" t="s">
        <v>651</v>
      </c>
      <c r="F106" s="3" t="s">
        <v>666</v>
      </c>
      <c r="G106" s="23" t="s">
        <v>667</v>
      </c>
      <c r="H106" s="3" t="s">
        <v>659</v>
      </c>
    </row>
    <row r="107" spans="1:8" ht="75" customHeight="1" x14ac:dyDescent="0.45">
      <c r="A107" s="19" t="s">
        <v>74</v>
      </c>
      <c r="B107" s="22" t="s">
        <v>65</v>
      </c>
      <c r="C107" s="3" t="s">
        <v>668</v>
      </c>
      <c r="D107" s="22" t="s">
        <v>661</v>
      </c>
      <c r="E107" s="3" t="s">
        <v>669</v>
      </c>
      <c r="F107" s="3" t="s">
        <v>670</v>
      </c>
      <c r="G107" s="23" t="s">
        <v>671</v>
      </c>
      <c r="H107" s="3" t="s">
        <v>654</v>
      </c>
    </row>
    <row r="108" spans="1:8" ht="45" customHeight="1" x14ac:dyDescent="0.45">
      <c r="A108" s="19" t="s">
        <v>74</v>
      </c>
      <c r="B108" s="22" t="s">
        <v>85</v>
      </c>
      <c r="C108" s="3" t="s">
        <v>672</v>
      </c>
      <c r="D108" s="22" t="s">
        <v>673</v>
      </c>
      <c r="E108" s="3" t="s">
        <v>674</v>
      </c>
      <c r="F108" s="3" t="s">
        <v>675</v>
      </c>
      <c r="G108" s="23" t="s">
        <v>676</v>
      </c>
      <c r="H108" s="3" t="s">
        <v>659</v>
      </c>
    </row>
    <row r="109" spans="1:8" ht="75" customHeight="1" x14ac:dyDescent="0.45">
      <c r="A109" s="19" t="s">
        <v>96</v>
      </c>
      <c r="B109" s="22" t="s">
        <v>65</v>
      </c>
      <c r="C109" s="3" t="s">
        <v>677</v>
      </c>
      <c r="D109" s="22" t="s">
        <v>678</v>
      </c>
      <c r="E109" s="3" t="s">
        <v>679</v>
      </c>
      <c r="F109" s="3" t="s">
        <v>662</v>
      </c>
      <c r="G109" s="23" t="s">
        <v>680</v>
      </c>
      <c r="H109" s="3" t="s">
        <v>654</v>
      </c>
    </row>
    <row r="110" spans="1:8" ht="45" customHeight="1" x14ac:dyDescent="0.45">
      <c r="A110" s="19" t="s">
        <v>96</v>
      </c>
      <c r="B110" s="22" t="s">
        <v>85</v>
      </c>
      <c r="C110" s="3" t="s">
        <v>681</v>
      </c>
      <c r="D110" s="22" t="s">
        <v>682</v>
      </c>
      <c r="E110" s="3" t="s">
        <v>683</v>
      </c>
      <c r="F110" s="3" t="s">
        <v>684</v>
      </c>
      <c r="G110" s="23" t="s">
        <v>685</v>
      </c>
      <c r="H110" s="3" t="s">
        <v>659</v>
      </c>
    </row>
    <row r="111" spans="1:8" ht="60" customHeight="1" x14ac:dyDescent="0.45">
      <c r="A111" s="19" t="s">
        <v>99</v>
      </c>
      <c r="B111" s="22" t="s">
        <v>65</v>
      </c>
      <c r="C111" s="3" t="s">
        <v>686</v>
      </c>
      <c r="D111" s="22" t="s">
        <v>687</v>
      </c>
      <c r="E111" s="3" t="s">
        <v>651</v>
      </c>
      <c r="F111" s="3" t="s">
        <v>688</v>
      </c>
      <c r="G111" s="23" t="s">
        <v>689</v>
      </c>
      <c r="H111" s="3" t="s">
        <v>654</v>
      </c>
    </row>
    <row r="112" spans="1:8" ht="45" customHeight="1" x14ac:dyDescent="0.45">
      <c r="A112" s="19" t="s">
        <v>99</v>
      </c>
      <c r="B112" s="22" t="s">
        <v>85</v>
      </c>
      <c r="C112" s="3" t="s">
        <v>690</v>
      </c>
      <c r="D112" s="22" t="s">
        <v>691</v>
      </c>
      <c r="E112" s="3" t="s">
        <v>651</v>
      </c>
      <c r="F112" s="3" t="s">
        <v>692</v>
      </c>
      <c r="G112" s="23" t="s">
        <v>693</v>
      </c>
      <c r="H112" s="3" t="s">
        <v>659</v>
      </c>
    </row>
    <row r="113" spans="1:8" ht="75" customHeight="1" x14ac:dyDescent="0.45">
      <c r="A113" s="19" t="s">
        <v>66</v>
      </c>
      <c r="B113" s="22" t="s">
        <v>65</v>
      </c>
      <c r="C113" s="3" t="s">
        <v>694</v>
      </c>
      <c r="D113" s="22" t="s">
        <v>695</v>
      </c>
      <c r="E113" s="3" t="s">
        <v>651</v>
      </c>
      <c r="F113" s="3" t="s">
        <v>662</v>
      </c>
      <c r="G113" s="23" t="s">
        <v>696</v>
      </c>
      <c r="H113" s="3" t="s">
        <v>654</v>
      </c>
    </row>
    <row r="114" spans="1:8" ht="45" customHeight="1" x14ac:dyDescent="0.45">
      <c r="A114" s="19" t="s">
        <v>66</v>
      </c>
      <c r="B114" s="22" t="s">
        <v>85</v>
      </c>
      <c r="C114" s="3" t="s">
        <v>697</v>
      </c>
      <c r="D114" s="22" t="s">
        <v>698</v>
      </c>
      <c r="E114" s="3" t="s">
        <v>699</v>
      </c>
      <c r="F114" s="3" t="s">
        <v>700</v>
      </c>
      <c r="G114" s="23" t="s">
        <v>701</v>
      </c>
      <c r="H114" s="3" t="s">
        <v>659</v>
      </c>
    </row>
    <row r="115" spans="1:8" ht="45" customHeight="1" x14ac:dyDescent="0.45">
      <c r="A115" s="19" t="s">
        <v>66</v>
      </c>
      <c r="B115" s="22" t="s">
        <v>631</v>
      </c>
      <c r="C115" s="3" t="s">
        <v>702</v>
      </c>
      <c r="D115" s="22" t="s">
        <v>703</v>
      </c>
      <c r="E115" s="3" t="s">
        <v>704</v>
      </c>
      <c r="F115" s="3" t="s">
        <v>705</v>
      </c>
      <c r="G115" s="23" t="s">
        <v>706</v>
      </c>
      <c r="H115" s="3" t="s">
        <v>707</v>
      </c>
    </row>
    <row r="116" spans="1:8" ht="45" customHeight="1" x14ac:dyDescent="0.45">
      <c r="A116" s="19" t="s">
        <v>52</v>
      </c>
      <c r="B116" s="22" t="s">
        <v>65</v>
      </c>
      <c r="C116" s="3" t="s">
        <v>708</v>
      </c>
      <c r="D116" s="22" t="s">
        <v>709</v>
      </c>
      <c r="E116" s="3" t="s">
        <v>651</v>
      </c>
      <c r="F116" s="3" t="s">
        <v>710</v>
      </c>
      <c r="G116" s="23" t="s">
        <v>711</v>
      </c>
      <c r="H116" s="3" t="s">
        <v>654</v>
      </c>
    </row>
    <row r="117" spans="1:8" ht="45" customHeight="1" x14ac:dyDescent="0.45">
      <c r="A117" s="19" t="s">
        <v>52</v>
      </c>
      <c r="B117" s="22" t="s">
        <v>85</v>
      </c>
      <c r="C117" s="3" t="s">
        <v>712</v>
      </c>
      <c r="D117" s="22" t="s">
        <v>709</v>
      </c>
      <c r="E117" s="3" t="s">
        <v>651</v>
      </c>
      <c r="F117" s="3" t="s">
        <v>713</v>
      </c>
      <c r="G117" s="23" t="s">
        <v>714</v>
      </c>
      <c r="H117" s="3" t="s">
        <v>715</v>
      </c>
    </row>
    <row r="118" spans="1:8" ht="75" customHeight="1" x14ac:dyDescent="0.45">
      <c r="A118" s="19" t="s">
        <v>91</v>
      </c>
      <c r="B118" s="22" t="s">
        <v>65</v>
      </c>
      <c r="C118" s="3" t="s">
        <v>716</v>
      </c>
      <c r="D118" s="22" t="s">
        <v>717</v>
      </c>
      <c r="E118" s="3" t="s">
        <v>718</v>
      </c>
      <c r="F118" s="3" t="s">
        <v>719</v>
      </c>
      <c r="G118" s="23" t="s">
        <v>720</v>
      </c>
      <c r="H118" s="3" t="s">
        <v>654</v>
      </c>
    </row>
    <row r="119" spans="1:8" ht="45" customHeight="1" x14ac:dyDescent="0.45">
      <c r="A119" s="19" t="s">
        <v>91</v>
      </c>
      <c r="B119" s="22" t="s">
        <v>85</v>
      </c>
      <c r="C119" s="3" t="s">
        <v>721</v>
      </c>
      <c r="D119" s="22" t="s">
        <v>722</v>
      </c>
      <c r="E119" s="3" t="s">
        <v>651</v>
      </c>
      <c r="F119" s="3" t="s">
        <v>723</v>
      </c>
      <c r="G119" s="23" t="s">
        <v>724</v>
      </c>
      <c r="H119" s="3" t="s">
        <v>659</v>
      </c>
    </row>
    <row r="120" spans="1:8" ht="75" customHeight="1" x14ac:dyDescent="0.45">
      <c r="A120" s="19" t="s">
        <v>78</v>
      </c>
      <c r="B120" s="22" t="s">
        <v>65</v>
      </c>
      <c r="C120" s="3" t="s">
        <v>725</v>
      </c>
      <c r="D120" s="22" t="s">
        <v>726</v>
      </c>
      <c r="E120" s="3" t="s">
        <v>651</v>
      </c>
      <c r="F120" s="3" t="s">
        <v>662</v>
      </c>
      <c r="G120" s="23" t="s">
        <v>727</v>
      </c>
      <c r="H120" s="3" t="s">
        <v>654</v>
      </c>
    </row>
    <row r="121" spans="1:8" ht="45" customHeight="1" x14ac:dyDescent="0.45">
      <c r="A121" s="19" t="s">
        <v>78</v>
      </c>
      <c r="B121" s="22" t="s">
        <v>85</v>
      </c>
      <c r="C121" s="3" t="s">
        <v>728</v>
      </c>
      <c r="D121" s="22" t="s">
        <v>729</v>
      </c>
      <c r="E121" s="3" t="s">
        <v>651</v>
      </c>
      <c r="F121" s="3" t="s">
        <v>730</v>
      </c>
      <c r="G121" s="23" t="s">
        <v>731</v>
      </c>
      <c r="H121" s="3" t="s">
        <v>659</v>
      </c>
    </row>
    <row r="122" spans="1:8" ht="45" customHeight="1" x14ac:dyDescent="0.45">
      <c r="A122" s="19" t="s">
        <v>78</v>
      </c>
      <c r="B122" s="22" t="s">
        <v>631</v>
      </c>
      <c r="C122" s="3" t="s">
        <v>732</v>
      </c>
      <c r="D122" s="22" t="s">
        <v>733</v>
      </c>
      <c r="E122" s="3" t="s">
        <v>734</v>
      </c>
      <c r="F122" s="3" t="s">
        <v>705</v>
      </c>
      <c r="G122" s="23" t="s">
        <v>735</v>
      </c>
      <c r="H122" s="3" t="s">
        <v>707</v>
      </c>
    </row>
    <row r="123" spans="1:8" ht="75" customHeight="1" x14ac:dyDescent="0.45">
      <c r="A123" s="19" t="s">
        <v>57</v>
      </c>
      <c r="B123" s="22" t="s">
        <v>65</v>
      </c>
      <c r="C123" s="3" t="s">
        <v>736</v>
      </c>
      <c r="D123" s="22" t="s">
        <v>737</v>
      </c>
      <c r="E123" s="3" t="s">
        <v>651</v>
      </c>
      <c r="F123" s="3" t="s">
        <v>738</v>
      </c>
      <c r="G123" s="23" t="s">
        <v>739</v>
      </c>
      <c r="H123" s="3" t="s">
        <v>654</v>
      </c>
    </row>
    <row r="124" spans="1:8" ht="45" customHeight="1" x14ac:dyDescent="0.45">
      <c r="A124" s="19" t="s">
        <v>57</v>
      </c>
      <c r="B124" s="22" t="s">
        <v>85</v>
      </c>
      <c r="C124" s="3" t="s">
        <v>740</v>
      </c>
      <c r="D124" s="22" t="s">
        <v>741</v>
      </c>
      <c r="E124" s="3" t="s">
        <v>651</v>
      </c>
      <c r="F124" s="3" t="s">
        <v>742</v>
      </c>
      <c r="G124" s="23" t="s">
        <v>743</v>
      </c>
      <c r="H124" s="3" t="s">
        <v>659</v>
      </c>
    </row>
    <row r="125" spans="1:8" ht="45" customHeight="1" x14ac:dyDescent="0.45">
      <c r="A125" s="19" t="s">
        <v>57</v>
      </c>
      <c r="B125" s="22" t="s">
        <v>631</v>
      </c>
      <c r="C125" s="3" t="s">
        <v>744</v>
      </c>
      <c r="D125" s="22" t="s">
        <v>745</v>
      </c>
      <c r="E125" s="3" t="s">
        <v>746</v>
      </c>
      <c r="F125" s="3" t="s">
        <v>705</v>
      </c>
      <c r="G125" s="23" t="s">
        <v>747</v>
      </c>
      <c r="H125" s="3" t="s">
        <v>707</v>
      </c>
    </row>
    <row r="126" spans="1:8" ht="75" customHeight="1" x14ac:dyDescent="0.45">
      <c r="A126" s="19" t="s">
        <v>80</v>
      </c>
      <c r="B126" s="22" t="s">
        <v>65</v>
      </c>
      <c r="C126" s="3" t="s">
        <v>748</v>
      </c>
      <c r="D126" s="22" t="s">
        <v>749</v>
      </c>
      <c r="E126" s="3" t="s">
        <v>651</v>
      </c>
      <c r="F126" s="3" t="s">
        <v>662</v>
      </c>
      <c r="G126" s="23" t="s">
        <v>750</v>
      </c>
      <c r="H126" s="3" t="s">
        <v>654</v>
      </c>
    </row>
    <row r="127" spans="1:8" ht="45" customHeight="1" x14ac:dyDescent="0.45">
      <c r="A127" s="19" t="s">
        <v>80</v>
      </c>
      <c r="B127" s="22" t="s">
        <v>85</v>
      </c>
      <c r="C127" s="3" t="s">
        <v>751</v>
      </c>
      <c r="D127" s="22" t="s">
        <v>752</v>
      </c>
      <c r="E127" s="3" t="s">
        <v>651</v>
      </c>
      <c r="F127" s="3" t="s">
        <v>753</v>
      </c>
      <c r="G127" s="23" t="s">
        <v>754</v>
      </c>
      <c r="H127" s="3" t="s">
        <v>659</v>
      </c>
    </row>
    <row r="128" spans="1:8" ht="75" customHeight="1" x14ac:dyDescent="0.45">
      <c r="A128" s="19" t="s">
        <v>69</v>
      </c>
      <c r="B128" s="22" t="s">
        <v>65</v>
      </c>
      <c r="C128" s="3" t="s">
        <v>755</v>
      </c>
      <c r="D128" s="22" t="s">
        <v>756</v>
      </c>
      <c r="E128" s="3" t="s">
        <v>651</v>
      </c>
      <c r="F128" s="3" t="s">
        <v>757</v>
      </c>
      <c r="G128" s="23" t="s">
        <v>758</v>
      </c>
      <c r="H128" s="3" t="s">
        <v>654</v>
      </c>
    </row>
    <row r="129" spans="1:8" ht="45" customHeight="1" x14ac:dyDescent="0.45">
      <c r="A129" s="19" t="s">
        <v>69</v>
      </c>
      <c r="B129" s="22" t="s">
        <v>85</v>
      </c>
      <c r="C129" s="3" t="s">
        <v>759</v>
      </c>
      <c r="D129" s="22" t="s">
        <v>760</v>
      </c>
      <c r="E129" s="3" t="s">
        <v>651</v>
      </c>
      <c r="F129" s="3" t="s">
        <v>761</v>
      </c>
      <c r="G129" s="23" t="s">
        <v>762</v>
      </c>
      <c r="H129" s="3" t="s">
        <v>659</v>
      </c>
    </row>
    <row r="130" spans="1:8" ht="45" customHeight="1" x14ac:dyDescent="0.45">
      <c r="A130" s="19" t="s">
        <v>69</v>
      </c>
      <c r="B130" s="22" t="s">
        <v>631</v>
      </c>
      <c r="C130" s="3" t="s">
        <v>763</v>
      </c>
      <c r="D130" s="22" t="s">
        <v>764</v>
      </c>
      <c r="E130" s="3" t="s">
        <v>765</v>
      </c>
      <c r="F130" s="3" t="s">
        <v>705</v>
      </c>
      <c r="G130" s="23" t="s">
        <v>766</v>
      </c>
      <c r="H130" s="3" t="s">
        <v>707</v>
      </c>
    </row>
    <row r="131" spans="1:8" ht="75" customHeight="1" x14ac:dyDescent="0.45">
      <c r="A131" s="19" t="s">
        <v>47</v>
      </c>
      <c r="B131" s="22" t="s">
        <v>65</v>
      </c>
      <c r="C131" s="3" t="s">
        <v>767</v>
      </c>
      <c r="D131" s="22" t="s">
        <v>768</v>
      </c>
      <c r="E131" s="3" t="s">
        <v>651</v>
      </c>
      <c r="F131" s="3" t="s">
        <v>662</v>
      </c>
      <c r="G131" s="23" t="s">
        <v>769</v>
      </c>
      <c r="H131" s="3" t="s">
        <v>654</v>
      </c>
    </row>
    <row r="132" spans="1:8" ht="45" customHeight="1" x14ac:dyDescent="0.45">
      <c r="A132" s="19" t="s">
        <v>47</v>
      </c>
      <c r="B132" s="22" t="s">
        <v>85</v>
      </c>
      <c r="C132" s="3" t="s">
        <v>770</v>
      </c>
      <c r="D132" s="22" t="s">
        <v>771</v>
      </c>
      <c r="E132" s="3" t="s">
        <v>651</v>
      </c>
      <c r="F132" s="3" t="s">
        <v>772</v>
      </c>
      <c r="G132" s="23" t="s">
        <v>773</v>
      </c>
      <c r="H132" s="3" t="s">
        <v>659</v>
      </c>
    </row>
    <row r="133" spans="1:8" ht="75" customHeight="1" x14ac:dyDescent="0.45">
      <c r="A133" s="19" t="s">
        <v>94</v>
      </c>
      <c r="B133" s="22" t="s">
        <v>65</v>
      </c>
      <c r="C133" s="3" t="s">
        <v>774</v>
      </c>
      <c r="D133" s="22" t="s">
        <v>775</v>
      </c>
      <c r="E133" s="3" t="s">
        <v>651</v>
      </c>
      <c r="F133" s="3" t="s">
        <v>662</v>
      </c>
      <c r="G133" s="23" t="s">
        <v>776</v>
      </c>
      <c r="H133" s="3" t="s">
        <v>654</v>
      </c>
    </row>
    <row r="134" spans="1:8" ht="75" customHeight="1" x14ac:dyDescent="0.45">
      <c r="A134" s="19" t="s">
        <v>102</v>
      </c>
      <c r="B134" s="22" t="s">
        <v>65</v>
      </c>
      <c r="C134" s="3" t="s">
        <v>777</v>
      </c>
      <c r="D134" s="22" t="s">
        <v>778</v>
      </c>
      <c r="E134" s="3" t="s">
        <v>651</v>
      </c>
      <c r="F134" s="3" t="s">
        <v>662</v>
      </c>
      <c r="G134" s="23" t="s">
        <v>779</v>
      </c>
      <c r="H134" s="3" t="s">
        <v>654</v>
      </c>
    </row>
    <row r="135" spans="1:8" ht="45" customHeight="1" x14ac:dyDescent="0.45">
      <c r="A135" s="19" t="s">
        <v>102</v>
      </c>
      <c r="B135" s="22" t="s">
        <v>85</v>
      </c>
      <c r="C135" s="3" t="s">
        <v>780</v>
      </c>
      <c r="D135" s="22" t="s">
        <v>781</v>
      </c>
      <c r="E135" s="3" t="s">
        <v>782</v>
      </c>
      <c r="F135" s="3" t="s">
        <v>783</v>
      </c>
      <c r="G135" s="23" t="s">
        <v>784</v>
      </c>
      <c r="H135" s="3" t="s">
        <v>659</v>
      </c>
    </row>
    <row r="136" spans="1:8" ht="45" customHeight="1" x14ac:dyDescent="0.45">
      <c r="A136" s="19" t="s">
        <v>102</v>
      </c>
      <c r="B136" s="22" t="s">
        <v>631</v>
      </c>
      <c r="C136" s="3" t="s">
        <v>785</v>
      </c>
      <c r="D136" s="22" t="s">
        <v>786</v>
      </c>
      <c r="E136" s="3" t="s">
        <v>787</v>
      </c>
      <c r="F136" s="3" t="s">
        <v>705</v>
      </c>
      <c r="G136" s="23" t="s">
        <v>788</v>
      </c>
      <c r="H136" s="3" t="s">
        <v>707</v>
      </c>
    </row>
    <row r="137" spans="1:8" ht="75" customHeight="1" x14ac:dyDescent="0.45">
      <c r="A137" s="19" t="s">
        <v>63</v>
      </c>
      <c r="B137" s="22" t="s">
        <v>65</v>
      </c>
      <c r="C137" s="3" t="s">
        <v>789</v>
      </c>
      <c r="D137" s="22" t="s">
        <v>790</v>
      </c>
      <c r="E137" s="3" t="s">
        <v>791</v>
      </c>
      <c r="F137" s="3" t="s">
        <v>662</v>
      </c>
      <c r="G137" s="23" t="s">
        <v>792</v>
      </c>
      <c r="H137" s="3" t="s">
        <v>654</v>
      </c>
    </row>
    <row r="138" spans="1:8" ht="75" customHeight="1" x14ac:dyDescent="0.45">
      <c r="A138" s="19" t="s">
        <v>71</v>
      </c>
      <c r="B138" s="22" t="s">
        <v>65</v>
      </c>
      <c r="C138" s="3" t="s">
        <v>793</v>
      </c>
      <c r="D138" s="22" t="s">
        <v>794</v>
      </c>
      <c r="E138" s="3" t="s">
        <v>795</v>
      </c>
      <c r="F138" s="3" t="s">
        <v>662</v>
      </c>
      <c r="G138" s="23" t="s">
        <v>796</v>
      </c>
      <c r="H138" s="3" t="s">
        <v>654</v>
      </c>
    </row>
    <row r="139" spans="1:8" ht="45" customHeight="1" x14ac:dyDescent="0.45">
      <c r="A139" s="19" t="s">
        <v>88</v>
      </c>
      <c r="B139" s="22" t="s">
        <v>85</v>
      </c>
      <c r="C139" s="3" t="s">
        <v>797</v>
      </c>
      <c r="D139" s="22" t="s">
        <v>798</v>
      </c>
      <c r="E139" s="3" t="s">
        <v>651</v>
      </c>
      <c r="F139" s="3" t="s">
        <v>799</v>
      </c>
      <c r="G139" s="23" t="s">
        <v>800</v>
      </c>
      <c r="H139" s="3" t="s">
        <v>659</v>
      </c>
    </row>
    <row r="140" spans="1:8" ht="45" customHeight="1" x14ac:dyDescent="0.45">
      <c r="A140" s="19" t="s">
        <v>108</v>
      </c>
      <c r="B140" s="22" t="s">
        <v>85</v>
      </c>
      <c r="C140" s="3" t="s">
        <v>801</v>
      </c>
      <c r="D140" s="22" t="s">
        <v>802</v>
      </c>
      <c r="E140" s="3" t="s">
        <v>803</v>
      </c>
      <c r="F140" s="3" t="s">
        <v>804</v>
      </c>
      <c r="G140" s="23" t="s">
        <v>805</v>
      </c>
      <c r="H140" s="3" t="s">
        <v>659</v>
      </c>
    </row>
    <row r="141" spans="1:8" ht="45" customHeight="1" x14ac:dyDescent="0.45">
      <c r="A141" s="19" t="s">
        <v>108</v>
      </c>
      <c r="B141" s="22" t="s">
        <v>631</v>
      </c>
      <c r="C141" s="3" t="s">
        <v>806</v>
      </c>
      <c r="D141" s="22" t="s">
        <v>807</v>
      </c>
      <c r="E141" s="3" t="s">
        <v>808</v>
      </c>
      <c r="F141" s="3" t="s">
        <v>705</v>
      </c>
      <c r="G141" s="23" t="s">
        <v>809</v>
      </c>
      <c r="H141" s="3" t="s">
        <v>707</v>
      </c>
    </row>
    <row r="142" spans="1:8" ht="45" customHeight="1" x14ac:dyDescent="0.45">
      <c r="A142" s="19" t="s">
        <v>82</v>
      </c>
      <c r="B142" s="22" t="s">
        <v>85</v>
      </c>
      <c r="C142" s="3" t="s">
        <v>810</v>
      </c>
      <c r="D142" s="22" t="s">
        <v>811</v>
      </c>
      <c r="E142" s="3" t="s">
        <v>651</v>
      </c>
      <c r="F142" s="3" t="s">
        <v>812</v>
      </c>
      <c r="G142" s="23" t="s">
        <v>813</v>
      </c>
      <c r="H142" s="3" t="s">
        <v>659</v>
      </c>
    </row>
    <row r="144" spans="1:8" ht="22.05" customHeight="1" x14ac:dyDescent="0.5">
      <c r="A144" s="13" t="s">
        <v>814</v>
      </c>
    </row>
    <row r="145" spans="1:8" ht="18" customHeight="1" x14ac:dyDescent="0.2">
      <c r="A145" s="50" t="s">
        <v>815</v>
      </c>
      <c r="B145" s="51"/>
      <c r="C145" s="51"/>
      <c r="D145" s="51"/>
      <c r="E145" s="51"/>
      <c r="F145" s="51"/>
      <c r="G145" s="51"/>
      <c r="H145" s="51"/>
    </row>
    <row r="146" spans="1:8" ht="18" customHeight="1" x14ac:dyDescent="0.2">
      <c r="A146" s="50" t="s">
        <v>816</v>
      </c>
      <c r="B146" s="51"/>
      <c r="C146" s="51"/>
      <c r="D146" s="51"/>
      <c r="E146" s="51"/>
      <c r="F146" s="51"/>
      <c r="G146" s="51"/>
      <c r="H146" s="51"/>
    </row>
    <row r="147" spans="1:8" ht="18" customHeight="1" x14ac:dyDescent="0.2">
      <c r="A147" s="50" t="s">
        <v>817</v>
      </c>
      <c r="B147" s="51"/>
      <c r="C147" s="51"/>
      <c r="D147" s="51"/>
      <c r="E147" s="51"/>
      <c r="F147" s="51"/>
      <c r="G147" s="51"/>
      <c r="H147" s="51"/>
    </row>
    <row r="148" spans="1:8" ht="18" customHeight="1" x14ac:dyDescent="0.2">
      <c r="A148" s="50" t="s">
        <v>818</v>
      </c>
      <c r="B148" s="51"/>
      <c r="C148" s="51"/>
      <c r="D148" s="51"/>
      <c r="E148" s="51"/>
      <c r="F148" s="51"/>
      <c r="G148" s="51"/>
      <c r="H148" s="51"/>
    </row>
    <row r="149" spans="1:8" ht="18" customHeight="1" x14ac:dyDescent="0.2">
      <c r="A149" s="50" t="s">
        <v>819</v>
      </c>
      <c r="B149" s="51"/>
      <c r="C149" s="51"/>
      <c r="D149" s="51"/>
      <c r="E149" s="51"/>
      <c r="F149" s="51"/>
      <c r="G149" s="51"/>
      <c r="H149" s="51"/>
    </row>
    <row r="150" spans="1:8" ht="18" customHeight="1" x14ac:dyDescent="0.2">
      <c r="A150" s="50" t="s">
        <v>820</v>
      </c>
      <c r="B150" s="51"/>
      <c r="C150" s="51"/>
      <c r="D150" s="51"/>
      <c r="E150" s="51"/>
      <c r="F150" s="51"/>
      <c r="G150" s="51"/>
      <c r="H150" s="51"/>
    </row>
    <row r="151" spans="1:8" ht="18" customHeight="1" x14ac:dyDescent="0.2">
      <c r="A151" s="50" t="s">
        <v>821</v>
      </c>
      <c r="B151" s="51"/>
      <c r="C151" s="51"/>
      <c r="D151" s="51"/>
      <c r="E151" s="51"/>
      <c r="F151" s="51"/>
      <c r="G151" s="51"/>
      <c r="H151" s="51"/>
    </row>
    <row r="152" spans="1:8" ht="18" customHeight="1" x14ac:dyDescent="0.2">
      <c r="A152" s="50" t="s">
        <v>822</v>
      </c>
      <c r="B152" s="51"/>
      <c r="C152" s="51"/>
      <c r="D152" s="51"/>
      <c r="E152" s="51"/>
      <c r="F152" s="51"/>
      <c r="G152" s="51"/>
      <c r="H152" s="51"/>
    </row>
    <row r="153" spans="1:8" ht="18" customHeight="1" x14ac:dyDescent="0.2">
      <c r="A153" s="50" t="s">
        <v>823</v>
      </c>
      <c r="B153" s="51"/>
      <c r="C153" s="51"/>
      <c r="D153" s="51"/>
      <c r="E153" s="51"/>
      <c r="F153" s="51"/>
      <c r="G153" s="51"/>
      <c r="H153" s="51"/>
    </row>
    <row r="154" spans="1:8" ht="18" customHeight="1" x14ac:dyDescent="0.2">
      <c r="A154" s="50" t="s">
        <v>824</v>
      </c>
      <c r="B154" s="51"/>
      <c r="C154" s="51"/>
      <c r="D154" s="51"/>
      <c r="E154" s="51"/>
      <c r="F154" s="51"/>
      <c r="G154" s="51"/>
      <c r="H154" s="51"/>
    </row>
    <row r="155" spans="1:8" ht="18" customHeight="1" x14ac:dyDescent="0.2">
      <c r="A155" s="50" t="s">
        <v>825</v>
      </c>
      <c r="B155" s="51"/>
      <c r="C155" s="51"/>
      <c r="D155" s="51"/>
      <c r="E155" s="51"/>
      <c r="F155" s="51"/>
      <c r="G155" s="51"/>
      <c r="H155" s="51"/>
    </row>
    <row r="156" spans="1:8" ht="18" customHeight="1" x14ac:dyDescent="0.2">
      <c r="A156" s="50" t="s">
        <v>826</v>
      </c>
      <c r="B156" s="51"/>
      <c r="C156" s="51"/>
      <c r="D156" s="51"/>
      <c r="E156" s="51"/>
      <c r="F156" s="51"/>
      <c r="G156" s="51"/>
      <c r="H156" s="51"/>
    </row>
    <row r="157" spans="1:8" ht="18" customHeight="1" x14ac:dyDescent="0.2">
      <c r="A157" s="50" t="s">
        <v>827</v>
      </c>
      <c r="B157" s="51"/>
      <c r="C157" s="51"/>
      <c r="D157" s="51"/>
      <c r="E157" s="51"/>
      <c r="F157" s="51"/>
      <c r="G157" s="51"/>
      <c r="H157" s="51"/>
    </row>
    <row r="158" spans="1:8" ht="18" customHeight="1" x14ac:dyDescent="0.2">
      <c r="A158" s="50" t="s">
        <v>828</v>
      </c>
      <c r="B158" s="51"/>
      <c r="C158" s="51"/>
      <c r="D158" s="51"/>
      <c r="E158" s="51"/>
      <c r="F158" s="51"/>
      <c r="G158" s="51"/>
      <c r="H158" s="51"/>
    </row>
    <row r="159" spans="1:8" ht="18" customHeight="1" x14ac:dyDescent="0.2">
      <c r="A159" s="50" t="s">
        <v>829</v>
      </c>
      <c r="B159" s="51"/>
      <c r="C159" s="51"/>
      <c r="D159" s="51"/>
      <c r="E159" s="51"/>
      <c r="F159" s="51"/>
      <c r="G159" s="51"/>
      <c r="H159" s="51"/>
    </row>
    <row r="160" spans="1:8" ht="18" customHeight="1" x14ac:dyDescent="0.2">
      <c r="A160" s="50" t="s">
        <v>830</v>
      </c>
      <c r="B160" s="51"/>
      <c r="C160" s="51"/>
      <c r="D160" s="51"/>
      <c r="E160" s="51"/>
      <c r="F160" s="51"/>
      <c r="G160" s="51"/>
      <c r="H160" s="51"/>
    </row>
    <row r="161" spans="1:8" ht="18" customHeight="1" x14ac:dyDescent="0.2">
      <c r="A161" s="50" t="s">
        <v>831</v>
      </c>
      <c r="B161" s="51"/>
      <c r="C161" s="51"/>
      <c r="D161" s="51"/>
      <c r="E161" s="51"/>
      <c r="F161" s="51"/>
      <c r="G161" s="51"/>
      <c r="H161" s="51"/>
    </row>
    <row r="162" spans="1:8" ht="18" customHeight="1" x14ac:dyDescent="0.2">
      <c r="A162" s="50" t="s">
        <v>832</v>
      </c>
      <c r="B162" s="51"/>
      <c r="C162" s="51"/>
      <c r="D162" s="51"/>
      <c r="E162" s="51"/>
      <c r="F162" s="51"/>
      <c r="G162" s="51"/>
      <c r="H162" s="51"/>
    </row>
    <row r="163" spans="1:8" ht="18" customHeight="1" x14ac:dyDescent="0.2">
      <c r="A163" s="50" t="s">
        <v>833</v>
      </c>
      <c r="B163" s="51"/>
      <c r="C163" s="51"/>
      <c r="D163" s="51"/>
      <c r="E163" s="51"/>
      <c r="F163" s="51"/>
      <c r="G163" s="51"/>
      <c r="H163" s="51"/>
    </row>
    <row r="164" spans="1:8" ht="18" customHeight="1" x14ac:dyDescent="0.2">
      <c r="A164" s="50" t="s">
        <v>834</v>
      </c>
      <c r="B164" s="51"/>
      <c r="C164" s="51"/>
      <c r="D164" s="51"/>
      <c r="E164" s="51"/>
      <c r="F164" s="51"/>
      <c r="G164" s="51"/>
      <c r="H164" s="51"/>
    </row>
    <row r="166" spans="1:8" ht="22.05" customHeight="1" x14ac:dyDescent="0.5">
      <c r="A166" s="13" t="s">
        <v>835</v>
      </c>
    </row>
    <row r="167" spans="1:8" ht="31.95" customHeight="1" x14ac:dyDescent="0.2">
      <c r="A167" s="50" t="s">
        <v>836</v>
      </c>
      <c r="B167" s="51"/>
      <c r="C167" s="51"/>
      <c r="D167" s="51"/>
      <c r="E167" s="51"/>
      <c r="F167" s="51"/>
      <c r="G167" s="51"/>
      <c r="H167" s="51"/>
    </row>
    <row r="168" spans="1:8" ht="18" customHeight="1" x14ac:dyDescent="0.2">
      <c r="A168" s="50" t="s">
        <v>837</v>
      </c>
      <c r="B168" s="51"/>
      <c r="C168" s="51"/>
      <c r="D168" s="51"/>
      <c r="E168" s="51"/>
      <c r="F168" s="51"/>
      <c r="G168" s="51"/>
      <c r="H168" s="51"/>
    </row>
    <row r="169" spans="1:8" ht="31.95" customHeight="1" x14ac:dyDescent="0.2">
      <c r="A169" s="50" t="s">
        <v>838</v>
      </c>
      <c r="B169" s="51"/>
      <c r="C169" s="51"/>
      <c r="D169" s="51"/>
      <c r="E169" s="51"/>
      <c r="F169" s="51"/>
      <c r="G169" s="51"/>
      <c r="H169" s="51"/>
    </row>
    <row r="170" spans="1:8" ht="18" customHeight="1" x14ac:dyDescent="0.2">
      <c r="A170" s="50" t="s">
        <v>839</v>
      </c>
      <c r="B170" s="51"/>
      <c r="C170" s="51"/>
      <c r="D170" s="51"/>
      <c r="E170" s="51"/>
      <c r="F170" s="51"/>
      <c r="G170" s="51"/>
      <c r="H170" s="51"/>
    </row>
    <row r="171" spans="1:8" ht="18" customHeight="1" x14ac:dyDescent="0.2">
      <c r="A171" s="50" t="s">
        <v>840</v>
      </c>
      <c r="B171" s="51"/>
      <c r="C171" s="51"/>
      <c r="D171" s="51"/>
      <c r="E171" s="51"/>
      <c r="F171" s="51"/>
      <c r="G171" s="51"/>
      <c r="H171" s="51"/>
    </row>
    <row r="172" spans="1:8" ht="18" customHeight="1" x14ac:dyDescent="0.2">
      <c r="A172" s="50" t="s">
        <v>841</v>
      </c>
      <c r="B172" s="51"/>
      <c r="C172" s="51"/>
      <c r="D172" s="51"/>
      <c r="E172" s="51"/>
      <c r="F172" s="51"/>
      <c r="G172" s="51"/>
      <c r="H172" s="51"/>
    </row>
    <row r="173" spans="1:8" ht="18" customHeight="1" x14ac:dyDescent="0.2">
      <c r="A173" s="50" t="s">
        <v>842</v>
      </c>
      <c r="B173" s="51"/>
      <c r="C173" s="51"/>
      <c r="D173" s="51"/>
      <c r="E173" s="51"/>
      <c r="F173" s="51"/>
      <c r="G173" s="51"/>
      <c r="H173" s="51"/>
    </row>
    <row r="174" spans="1:8" ht="18" customHeight="1" x14ac:dyDescent="0.2">
      <c r="A174" s="50" t="s">
        <v>843</v>
      </c>
      <c r="B174" s="51"/>
      <c r="C174" s="51"/>
      <c r="D174" s="51"/>
      <c r="E174" s="51"/>
      <c r="F174" s="51"/>
      <c r="G174" s="51"/>
      <c r="H174" s="51"/>
    </row>
    <row r="175" spans="1:8" ht="18" customHeight="1" x14ac:dyDescent="0.2">
      <c r="A175" s="50" t="s">
        <v>844</v>
      </c>
      <c r="B175" s="51"/>
      <c r="C175" s="51"/>
      <c r="D175" s="51"/>
      <c r="E175" s="51"/>
      <c r="F175" s="51"/>
      <c r="G175" s="51"/>
      <c r="H175" s="51"/>
    </row>
    <row r="176" spans="1:8" ht="18" customHeight="1" x14ac:dyDescent="0.2">
      <c r="A176" s="50" t="s">
        <v>845</v>
      </c>
      <c r="B176" s="51"/>
      <c r="C176" s="51"/>
      <c r="D176" s="51"/>
      <c r="E176" s="51"/>
      <c r="F176" s="51"/>
      <c r="G176" s="51"/>
      <c r="H176" s="51"/>
    </row>
    <row r="177" spans="1:8" ht="31.95" customHeight="1" x14ac:dyDescent="0.2">
      <c r="A177" s="50" t="s">
        <v>846</v>
      </c>
      <c r="B177" s="51"/>
      <c r="C177" s="51"/>
      <c r="D177" s="51"/>
      <c r="E177" s="51"/>
      <c r="F177" s="51"/>
      <c r="G177" s="51"/>
      <c r="H177" s="51"/>
    </row>
    <row r="178" spans="1:8" ht="18" customHeight="1" x14ac:dyDescent="0.2">
      <c r="A178" s="50" t="s">
        <v>847</v>
      </c>
      <c r="B178" s="51"/>
      <c r="C178" s="51"/>
      <c r="D178" s="51"/>
      <c r="E178" s="51"/>
      <c r="F178" s="51"/>
      <c r="G178" s="51"/>
      <c r="H178" s="51"/>
    </row>
    <row r="179" spans="1:8" ht="31.95" customHeight="1" x14ac:dyDescent="0.2">
      <c r="A179" s="50" t="s">
        <v>848</v>
      </c>
      <c r="B179" s="51"/>
      <c r="C179" s="51"/>
      <c r="D179" s="51"/>
      <c r="E179" s="51"/>
      <c r="F179" s="51"/>
      <c r="G179" s="51"/>
      <c r="H179" s="51"/>
    </row>
    <row r="181" spans="1:8" ht="22.05" customHeight="1" x14ac:dyDescent="0.5">
      <c r="A181" s="13" t="s">
        <v>849</v>
      </c>
    </row>
    <row r="182" spans="1:8" ht="31.95" customHeight="1" x14ac:dyDescent="0.2">
      <c r="A182" s="50" t="s">
        <v>850</v>
      </c>
      <c r="B182" s="51"/>
      <c r="C182" s="51"/>
      <c r="D182" s="51"/>
      <c r="E182" s="51"/>
      <c r="F182" s="51"/>
      <c r="G182" s="51"/>
      <c r="H182" s="51"/>
    </row>
    <row r="183" spans="1:8" ht="18" customHeight="1" x14ac:dyDescent="0.2">
      <c r="A183" s="50" t="s">
        <v>851</v>
      </c>
      <c r="B183" s="51"/>
      <c r="C183" s="51"/>
      <c r="D183" s="51"/>
      <c r="E183" s="51"/>
      <c r="F183" s="51"/>
      <c r="G183" s="51"/>
      <c r="H183" s="51"/>
    </row>
    <row r="184" spans="1:8" ht="18" customHeight="1" x14ac:dyDescent="0.2">
      <c r="A184" s="50" t="s">
        <v>852</v>
      </c>
      <c r="B184" s="51"/>
      <c r="C184" s="51"/>
      <c r="D184" s="51"/>
      <c r="E184" s="51"/>
      <c r="F184" s="51"/>
      <c r="G184" s="51"/>
      <c r="H184" s="51"/>
    </row>
    <row r="185" spans="1:8" ht="18" customHeight="1" x14ac:dyDescent="0.2">
      <c r="A185" s="50" t="s">
        <v>853</v>
      </c>
      <c r="B185" s="51"/>
      <c r="C185" s="51"/>
      <c r="D185" s="51"/>
      <c r="E185" s="51"/>
      <c r="F185" s="51"/>
      <c r="G185" s="51"/>
      <c r="H185" s="51"/>
    </row>
    <row r="186" spans="1:8" ht="31.95" customHeight="1" x14ac:dyDescent="0.2">
      <c r="A186" s="50" t="s">
        <v>854</v>
      </c>
      <c r="B186" s="51"/>
      <c r="C186" s="51"/>
      <c r="D186" s="51"/>
      <c r="E186" s="51"/>
      <c r="F186" s="51"/>
      <c r="G186" s="51"/>
      <c r="H186" s="51"/>
    </row>
    <row r="187" spans="1:8" ht="18" customHeight="1" x14ac:dyDescent="0.2">
      <c r="A187" s="50" t="s">
        <v>855</v>
      </c>
      <c r="B187" s="51"/>
      <c r="C187" s="51"/>
      <c r="D187" s="51"/>
      <c r="E187" s="51"/>
      <c r="F187" s="51"/>
      <c r="G187" s="51"/>
      <c r="H187" s="51"/>
    </row>
    <row r="188" spans="1:8" ht="18" customHeight="1" x14ac:dyDescent="0.2">
      <c r="A188" s="50" t="s">
        <v>856</v>
      </c>
      <c r="B188" s="51"/>
      <c r="C188" s="51"/>
      <c r="D188" s="51"/>
      <c r="E188" s="51"/>
      <c r="F188" s="51"/>
      <c r="G188" s="51"/>
      <c r="H188" s="51"/>
    </row>
    <row r="189" spans="1:8" ht="18" customHeight="1" x14ac:dyDescent="0.2">
      <c r="A189" s="50" t="s">
        <v>857</v>
      </c>
      <c r="B189" s="51"/>
      <c r="C189" s="51"/>
      <c r="D189" s="51"/>
      <c r="E189" s="51"/>
      <c r="F189" s="51"/>
      <c r="G189" s="51"/>
      <c r="H189" s="51"/>
    </row>
    <row r="190" spans="1:8" ht="18" customHeight="1" x14ac:dyDescent="0.2">
      <c r="A190" s="50" t="s">
        <v>858</v>
      </c>
      <c r="B190" s="51"/>
      <c r="C190" s="51"/>
      <c r="D190" s="51"/>
      <c r="E190" s="51"/>
      <c r="F190" s="51"/>
      <c r="G190" s="51"/>
      <c r="H190" s="51"/>
    </row>
    <row r="191" spans="1:8" ht="18" customHeight="1" x14ac:dyDescent="0.2">
      <c r="A191" s="50" t="s">
        <v>859</v>
      </c>
      <c r="B191" s="51"/>
      <c r="C191" s="51"/>
      <c r="D191" s="51"/>
      <c r="E191" s="51"/>
      <c r="F191" s="51"/>
      <c r="G191" s="51"/>
      <c r="H191" s="51"/>
    </row>
    <row r="192" spans="1:8" ht="18" customHeight="1" x14ac:dyDescent="0.2">
      <c r="A192" s="50" t="s">
        <v>860</v>
      </c>
      <c r="B192" s="51"/>
      <c r="C192" s="51"/>
      <c r="D192" s="51"/>
      <c r="E192" s="51"/>
      <c r="F192" s="51"/>
      <c r="G192" s="51"/>
      <c r="H192" s="51"/>
    </row>
    <row r="193" spans="1:8" ht="18" customHeight="1" x14ac:dyDescent="0.2">
      <c r="A193" s="50" t="s">
        <v>861</v>
      </c>
      <c r="B193" s="51"/>
      <c r="C193" s="51"/>
      <c r="D193" s="51"/>
      <c r="E193" s="51"/>
      <c r="F193" s="51"/>
      <c r="G193" s="51"/>
      <c r="H193" s="51"/>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862</v>
      </c>
    </row>
    <row r="2" spans="1:14" ht="18" customHeight="1" x14ac:dyDescent="0.2">
      <c r="A2" s="52" t="s">
        <v>863</v>
      </c>
      <c r="B2" s="51"/>
      <c r="C2" s="51"/>
      <c r="D2" s="51"/>
      <c r="E2" s="51"/>
      <c r="F2" s="51"/>
      <c r="G2" s="51"/>
      <c r="H2" s="51"/>
      <c r="I2" s="51"/>
      <c r="J2" s="51"/>
      <c r="K2" s="51"/>
      <c r="L2" s="51"/>
      <c r="M2" s="51"/>
      <c r="N2" s="51"/>
    </row>
    <row r="4" spans="1:14" ht="30" customHeight="1" x14ac:dyDescent="0.2">
      <c r="A4" s="4" t="s">
        <v>518</v>
      </c>
      <c r="B4" s="4" t="s">
        <v>864</v>
      </c>
      <c r="C4" s="4" t="s">
        <v>865</v>
      </c>
      <c r="D4" s="4" t="s">
        <v>866</v>
      </c>
      <c r="E4" s="4" t="s">
        <v>867</v>
      </c>
      <c r="F4" s="4" t="s">
        <v>868</v>
      </c>
      <c r="G4" s="4" t="s">
        <v>869</v>
      </c>
      <c r="H4" s="4" t="s">
        <v>870</v>
      </c>
      <c r="I4" s="4" t="s">
        <v>871</v>
      </c>
      <c r="J4" s="4" t="s">
        <v>872</v>
      </c>
      <c r="K4" s="4" t="s">
        <v>873</v>
      </c>
      <c r="L4" s="4" t="s">
        <v>874</v>
      </c>
      <c r="M4" s="4" t="s">
        <v>875</v>
      </c>
      <c r="N4" s="4" t="s">
        <v>876</v>
      </c>
    </row>
    <row r="5" spans="1:14" ht="36" customHeight="1" x14ac:dyDescent="0.45">
      <c r="A5" s="19" t="s">
        <v>523</v>
      </c>
      <c r="B5" s="3" t="s">
        <v>877</v>
      </c>
      <c r="C5" s="8">
        <f>HIV・エイズ!A15</f>
        <v>2025</v>
      </c>
      <c r="D5" s="24">
        <f>HIV・エイズ!D15</f>
        <v>890</v>
      </c>
      <c r="E5" s="9">
        <f>HIV・エイズ!D14</f>
        <v>994</v>
      </c>
      <c r="F5" s="25">
        <f>D5/E5-1</f>
        <v>-0.1046277665995976</v>
      </c>
      <c r="G5" s="8">
        <f>HIV・エイズ!A6</f>
        <v>2016</v>
      </c>
      <c r="H5" s="9">
        <f>HIV・エイズ!D6</f>
        <v>1448</v>
      </c>
      <c r="I5" s="26">
        <f>D5/H5</f>
        <v>0.61464088397790051</v>
      </c>
      <c r="J5" s="27" t="s">
        <v>51</v>
      </c>
      <c r="K5" s="3" t="str">
        <f>HIV・エイズ!B22</f>
        <v>2026年1〜6月ごろ（第1・第2四半期）</v>
      </c>
      <c r="L5" s="28">
        <f>HIV・エイズ!C22</f>
        <v>477</v>
      </c>
      <c r="M5" s="28">
        <f>HIV・エイズ!D22</f>
        <v>423</v>
      </c>
      <c r="N5" s="29">
        <f>L5/M5-1</f>
        <v>0.12765957446808507</v>
      </c>
    </row>
    <row r="6" spans="1:14" ht="36" customHeight="1" x14ac:dyDescent="0.45">
      <c r="A6" s="19" t="s">
        <v>528</v>
      </c>
      <c r="B6" s="3" t="s">
        <v>878</v>
      </c>
      <c r="C6" s="8">
        <f>梅毒!A15</f>
        <v>2024</v>
      </c>
      <c r="D6" s="24">
        <f>梅毒!B15</f>
        <v>14829</v>
      </c>
      <c r="E6" s="9">
        <f>梅毒!B14</f>
        <v>15055</v>
      </c>
      <c r="F6" s="25">
        <f>D6/E6-1</f>
        <v>-1.501162404516776E-2</v>
      </c>
      <c r="G6" s="8">
        <f>梅毒!A6</f>
        <v>2015</v>
      </c>
      <c r="H6" s="9">
        <f>梅毒!B6</f>
        <v>2690</v>
      </c>
      <c r="I6" s="26">
        <f>D6/H6</f>
        <v>5.5126394052044612</v>
      </c>
      <c r="J6" s="28">
        <f>梅毒!B16</f>
        <v>13530</v>
      </c>
      <c r="K6" s="3" t="str">
        <f>梅毒!B21</f>
        <v>2026年1月〜10月11日（第41週まで）</v>
      </c>
      <c r="L6" s="28">
        <f>梅毒!C21</f>
        <v>8942</v>
      </c>
      <c r="M6" s="28">
        <f>梅毒!D21</f>
        <v>10985</v>
      </c>
      <c r="N6" s="29">
        <f>L6/M6-1</f>
        <v>-0.18598088302230309</v>
      </c>
    </row>
    <row r="7" spans="1:14" ht="36" customHeight="1" x14ac:dyDescent="0.45">
      <c r="A7" s="19" t="s">
        <v>879</v>
      </c>
      <c r="B7" s="3" t="s">
        <v>878</v>
      </c>
      <c r="C7" s="8">
        <f>はしか!A15</f>
        <v>2024</v>
      </c>
      <c r="D7" s="24">
        <f>はしか!B15</f>
        <v>45</v>
      </c>
      <c r="E7" s="9">
        <f>はしか!B14</f>
        <v>28</v>
      </c>
      <c r="F7" s="25">
        <f>D7/E7-1</f>
        <v>0.60714285714285721</v>
      </c>
      <c r="G7" s="8">
        <f>はしか!A6</f>
        <v>2015</v>
      </c>
      <c r="H7" s="9">
        <f>はしか!B6</f>
        <v>35</v>
      </c>
      <c r="I7" s="26">
        <f>D7/H7</f>
        <v>1.2857142857142858</v>
      </c>
      <c r="J7" s="28">
        <f>はしか!B16</f>
        <v>265</v>
      </c>
      <c r="K7" s="3" t="str">
        <f>はしか!B21</f>
        <v>2026年1月〜10月11日（第41週まで）</v>
      </c>
      <c r="L7" s="28">
        <f>はしか!C21</f>
        <v>579</v>
      </c>
      <c r="M7" s="28">
        <f>はしか!D21</f>
        <v>231</v>
      </c>
      <c r="N7" s="29">
        <f>L7/M7-1</f>
        <v>1.5064935064935066</v>
      </c>
    </row>
    <row r="8" spans="1:14" ht="36" customHeight="1" x14ac:dyDescent="0.45">
      <c r="A8" s="19" t="s">
        <v>532</v>
      </c>
      <c r="B8" s="3" t="s">
        <v>880</v>
      </c>
      <c r="C8" s="8">
        <f>結核!A15</f>
        <v>2025</v>
      </c>
      <c r="D8" s="24">
        <f>結核!B15</f>
        <v>9899</v>
      </c>
      <c r="E8" s="9">
        <f>結核!B14</f>
        <v>10051</v>
      </c>
      <c r="F8" s="25">
        <f>D8/E8-1</f>
        <v>-1.5122873345935761E-2</v>
      </c>
      <c r="G8" s="8">
        <f>結核!A6</f>
        <v>2016</v>
      </c>
      <c r="H8" s="9">
        <f>結核!B6</f>
        <v>17625</v>
      </c>
      <c r="I8" s="26">
        <f>D8/H8</f>
        <v>0.56164539007092196</v>
      </c>
      <c r="J8" s="27" t="s">
        <v>51</v>
      </c>
      <c r="K8" s="3" t="str">
        <f>結核!B20</f>
        <v>2026年1月〜10月11日（第41週まで）</v>
      </c>
      <c r="L8" s="28">
        <f>結核!C20</f>
        <v>11543</v>
      </c>
      <c r="M8" s="28">
        <f>結核!D20</f>
        <v>11145</v>
      </c>
      <c r="N8" s="29">
        <f>L8/M8-1</f>
        <v>3.5711081202332906E-2</v>
      </c>
    </row>
    <row r="10" spans="1:14" ht="18" customHeight="1" x14ac:dyDescent="0.2">
      <c r="A10" s="52" t="s">
        <v>881</v>
      </c>
      <c r="B10" s="51"/>
      <c r="C10" s="51"/>
      <c r="D10" s="51"/>
      <c r="E10" s="51"/>
      <c r="F10" s="51"/>
      <c r="G10" s="51"/>
      <c r="H10" s="51"/>
      <c r="I10" s="51"/>
      <c r="J10" s="51"/>
      <c r="K10" s="51"/>
      <c r="L10" s="51"/>
      <c r="M10" s="51"/>
      <c r="N10" s="51"/>
    </row>
    <row r="11" spans="1:14" ht="18" customHeight="1" x14ac:dyDescent="0.2">
      <c r="A11" s="52" t="s">
        <v>882</v>
      </c>
      <c r="B11" s="51"/>
      <c r="C11" s="51"/>
      <c r="D11" s="51"/>
      <c r="E11" s="51"/>
      <c r="F11" s="51"/>
      <c r="G11" s="51"/>
      <c r="H11" s="51"/>
      <c r="I11" s="51"/>
      <c r="J11" s="51"/>
      <c r="K11" s="51"/>
      <c r="L11" s="51"/>
      <c r="M11" s="51"/>
      <c r="N11" s="51"/>
    </row>
    <row r="12" spans="1:14" ht="18" customHeight="1" x14ac:dyDescent="0.2">
      <c r="A12" s="52" t="s">
        <v>883</v>
      </c>
      <c r="B12" s="51"/>
      <c r="C12" s="51"/>
      <c r="D12" s="51"/>
      <c r="E12" s="51"/>
      <c r="F12" s="51"/>
      <c r="G12" s="51"/>
      <c r="H12" s="51"/>
      <c r="I12" s="51"/>
      <c r="J12" s="51"/>
      <c r="K12" s="51"/>
      <c r="L12" s="51"/>
      <c r="M12" s="51"/>
      <c r="N12" s="51"/>
    </row>
    <row r="13" spans="1:14" ht="18" customHeight="1" x14ac:dyDescent="0.2">
      <c r="A13" s="52" t="s">
        <v>884</v>
      </c>
      <c r="B13" s="51"/>
      <c r="C13" s="51"/>
      <c r="D13" s="51"/>
      <c r="E13" s="51"/>
      <c r="F13" s="51"/>
      <c r="G13" s="51"/>
      <c r="H13" s="51"/>
      <c r="I13" s="51"/>
      <c r="J13" s="51"/>
      <c r="K13" s="51"/>
      <c r="L13" s="51"/>
      <c r="M13" s="51"/>
      <c r="N13" s="51"/>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885</v>
      </c>
    </row>
    <row r="2" spans="1:5" ht="31.95" customHeight="1" x14ac:dyDescent="0.2">
      <c r="A2" s="52" t="s">
        <v>886</v>
      </c>
      <c r="B2" s="51"/>
      <c r="C2" s="51"/>
      <c r="D2" s="51"/>
      <c r="E2" s="51"/>
    </row>
    <row r="4" spans="1:5" ht="22.05" customHeight="1" x14ac:dyDescent="0.5">
      <c r="A4" s="13" t="s">
        <v>887</v>
      </c>
    </row>
    <row r="5" spans="1:5" ht="30" customHeight="1" x14ac:dyDescent="0.2">
      <c r="A5" s="4" t="s">
        <v>518</v>
      </c>
      <c r="B5" s="4" t="s">
        <v>888</v>
      </c>
      <c r="C5" s="4" t="s">
        <v>889</v>
      </c>
      <c r="D5" s="4" t="s">
        <v>3</v>
      </c>
      <c r="E5" s="4" t="s">
        <v>522</v>
      </c>
    </row>
    <row r="6" spans="1:5" ht="31.95" customHeight="1" x14ac:dyDescent="0.2">
      <c r="A6" s="2" t="s">
        <v>523</v>
      </c>
      <c r="B6" s="30" t="s">
        <v>890</v>
      </c>
      <c r="C6" s="31" t="s">
        <v>891</v>
      </c>
      <c r="D6" s="3" t="s">
        <v>892</v>
      </c>
      <c r="E6" s="30" t="s">
        <v>893</v>
      </c>
    </row>
    <row r="7" spans="1:5" ht="48" customHeight="1" x14ac:dyDescent="0.2">
      <c r="A7" s="2" t="s">
        <v>523</v>
      </c>
      <c r="B7" s="30" t="s">
        <v>894</v>
      </c>
      <c r="C7" s="32" t="s">
        <v>895</v>
      </c>
      <c r="D7" s="3" t="s">
        <v>896</v>
      </c>
      <c r="E7" s="30" t="s">
        <v>897</v>
      </c>
    </row>
    <row r="8" spans="1:5" ht="31.95" customHeight="1" x14ac:dyDescent="0.2">
      <c r="A8" s="2" t="s">
        <v>523</v>
      </c>
      <c r="B8" s="30" t="s">
        <v>898</v>
      </c>
      <c r="C8" s="33" t="s">
        <v>899</v>
      </c>
      <c r="D8" s="3" t="s">
        <v>900</v>
      </c>
      <c r="E8" s="30" t="s">
        <v>901</v>
      </c>
    </row>
    <row r="9" spans="1:5" ht="31.95" customHeight="1" x14ac:dyDescent="0.2">
      <c r="A9" s="2" t="s">
        <v>528</v>
      </c>
      <c r="B9" s="30" t="s">
        <v>890</v>
      </c>
      <c r="C9" s="33" t="s">
        <v>899</v>
      </c>
      <c r="D9" s="3" t="s">
        <v>902</v>
      </c>
      <c r="E9" s="30" t="s">
        <v>903</v>
      </c>
    </row>
    <row r="10" spans="1:5" ht="48" customHeight="1" x14ac:dyDescent="0.2">
      <c r="A10" s="2" t="s">
        <v>528</v>
      </c>
      <c r="B10" s="30" t="s">
        <v>894</v>
      </c>
      <c r="C10" s="32" t="s">
        <v>895</v>
      </c>
      <c r="D10" s="3" t="s">
        <v>904</v>
      </c>
      <c r="E10" s="30" t="s">
        <v>903</v>
      </c>
    </row>
    <row r="11" spans="1:5" ht="48" customHeight="1" x14ac:dyDescent="0.2">
      <c r="A11" s="2" t="s">
        <v>528</v>
      </c>
      <c r="B11" s="30" t="s">
        <v>898</v>
      </c>
      <c r="C11" s="32" t="s">
        <v>895</v>
      </c>
      <c r="D11" s="3" t="s">
        <v>905</v>
      </c>
      <c r="E11" s="30" t="s">
        <v>906</v>
      </c>
    </row>
    <row r="12" spans="1:5" ht="48" customHeight="1" x14ac:dyDescent="0.2">
      <c r="A12" s="2" t="s">
        <v>879</v>
      </c>
      <c r="B12" s="30" t="s">
        <v>890</v>
      </c>
      <c r="C12" s="32" t="s">
        <v>895</v>
      </c>
      <c r="D12" s="3" t="s">
        <v>907</v>
      </c>
      <c r="E12" s="30" t="s">
        <v>908</v>
      </c>
    </row>
    <row r="13" spans="1:5" ht="31.95" customHeight="1" x14ac:dyDescent="0.2">
      <c r="A13" s="2" t="s">
        <v>879</v>
      </c>
      <c r="B13" s="30" t="s">
        <v>894</v>
      </c>
      <c r="C13" s="33" t="s">
        <v>899</v>
      </c>
      <c r="D13" s="3" t="s">
        <v>909</v>
      </c>
      <c r="E13" s="30" t="s">
        <v>910</v>
      </c>
    </row>
    <row r="14" spans="1:5" ht="48" customHeight="1" x14ac:dyDescent="0.2">
      <c r="A14" s="2" t="s">
        <v>879</v>
      </c>
      <c r="B14" s="30" t="s">
        <v>898</v>
      </c>
      <c r="C14" s="32" t="s">
        <v>895</v>
      </c>
      <c r="D14" s="3" t="s">
        <v>905</v>
      </c>
      <c r="E14" s="30" t="s">
        <v>906</v>
      </c>
    </row>
    <row r="15" spans="1:5" ht="31.95" customHeight="1" x14ac:dyDescent="0.2">
      <c r="A15" s="2" t="s">
        <v>532</v>
      </c>
      <c r="B15" s="30" t="s">
        <v>890</v>
      </c>
      <c r="C15" s="33" t="s">
        <v>899</v>
      </c>
      <c r="D15" s="3" t="s">
        <v>911</v>
      </c>
      <c r="E15" s="30" t="s">
        <v>906</v>
      </c>
    </row>
    <row r="16" spans="1:5" ht="31.95" customHeight="1" x14ac:dyDescent="0.2">
      <c r="A16" s="2" t="s">
        <v>532</v>
      </c>
      <c r="B16" s="30" t="s">
        <v>894</v>
      </c>
      <c r="C16" s="33" t="s">
        <v>899</v>
      </c>
      <c r="D16" s="3" t="s">
        <v>912</v>
      </c>
      <c r="E16" s="30" t="s">
        <v>910</v>
      </c>
    </row>
    <row r="17" spans="1:5" ht="31.95" customHeight="1" x14ac:dyDescent="0.2">
      <c r="A17" s="2" t="s">
        <v>532</v>
      </c>
      <c r="B17" s="30" t="s">
        <v>898</v>
      </c>
      <c r="C17" s="33" t="s">
        <v>899</v>
      </c>
      <c r="D17" s="3" t="s">
        <v>913</v>
      </c>
      <c r="E17" s="30" t="s">
        <v>914</v>
      </c>
    </row>
    <row r="18" spans="1:5" ht="18" customHeight="1" x14ac:dyDescent="0.2">
      <c r="A18" s="52" t="s">
        <v>915</v>
      </c>
      <c r="B18" s="51"/>
      <c r="C18" s="51"/>
      <c r="D18" s="51"/>
      <c r="E18" s="51"/>
    </row>
    <row r="19" spans="1:5" ht="18" customHeight="1" x14ac:dyDescent="0.2">
      <c r="A19" s="52" t="s">
        <v>916</v>
      </c>
      <c r="B19" s="51"/>
      <c r="C19" s="51"/>
      <c r="D19" s="51"/>
      <c r="E19" s="51"/>
    </row>
    <row r="20" spans="1:5" ht="31.95" customHeight="1" x14ac:dyDescent="0.2">
      <c r="A20" s="52" t="s">
        <v>917</v>
      </c>
      <c r="B20" s="51"/>
      <c r="C20" s="51"/>
      <c r="D20" s="51"/>
      <c r="E20" s="51"/>
    </row>
    <row r="22" spans="1:5" ht="22.05" customHeight="1" x14ac:dyDescent="0.5">
      <c r="A22" s="13" t="s">
        <v>918</v>
      </c>
    </row>
    <row r="23" spans="1:5" ht="31.95" customHeight="1" x14ac:dyDescent="0.2">
      <c r="A23" s="50" t="s">
        <v>919</v>
      </c>
      <c r="B23" s="51"/>
      <c r="C23" s="51"/>
      <c r="D23" s="51"/>
      <c r="E23" s="51"/>
    </row>
    <row r="24" spans="1:5" ht="31.95" customHeight="1" x14ac:dyDescent="0.2">
      <c r="A24" s="50" t="s">
        <v>920</v>
      </c>
      <c r="B24" s="51"/>
      <c r="C24" s="51"/>
      <c r="D24" s="51"/>
      <c r="E24" s="51"/>
    </row>
    <row r="26" spans="1:5" ht="22.05" customHeight="1" x14ac:dyDescent="0.5">
      <c r="A26" s="13" t="s">
        <v>523</v>
      </c>
    </row>
    <row r="27" spans="1:5" ht="18" customHeight="1" x14ac:dyDescent="0.2">
      <c r="A27" s="50" t="s">
        <v>921</v>
      </c>
      <c r="B27" s="51"/>
      <c r="C27" s="51"/>
      <c r="D27" s="51"/>
      <c r="E27" s="51"/>
    </row>
    <row r="28" spans="1:5" ht="31.95" customHeight="1" x14ac:dyDescent="0.2">
      <c r="A28" s="50" t="s">
        <v>922</v>
      </c>
      <c r="B28" s="51"/>
      <c r="C28" s="51"/>
      <c r="D28" s="51"/>
      <c r="E28" s="51"/>
    </row>
    <row r="29" spans="1:5" ht="31.95" customHeight="1" x14ac:dyDescent="0.2">
      <c r="A29" s="50" t="s">
        <v>923</v>
      </c>
      <c r="B29" s="51"/>
      <c r="C29" s="51"/>
      <c r="D29" s="51"/>
      <c r="E29" s="51"/>
    </row>
    <row r="30" spans="1:5" ht="18" customHeight="1" x14ac:dyDescent="0.2">
      <c r="A30" s="50" t="s">
        <v>924</v>
      </c>
      <c r="B30" s="51"/>
      <c r="C30" s="51"/>
      <c r="D30" s="51"/>
      <c r="E30" s="51"/>
    </row>
    <row r="31" spans="1:5" ht="31.95" customHeight="1" x14ac:dyDescent="0.2">
      <c r="A31" s="50" t="s">
        <v>925</v>
      </c>
      <c r="B31" s="51"/>
      <c r="C31" s="51"/>
      <c r="D31" s="51"/>
      <c r="E31" s="51"/>
    </row>
    <row r="32" spans="1:5" ht="18" customHeight="1" x14ac:dyDescent="0.2">
      <c r="A32" s="50" t="s">
        <v>926</v>
      </c>
      <c r="B32" s="51"/>
      <c r="C32" s="51"/>
      <c r="D32" s="51"/>
      <c r="E32" s="51"/>
    </row>
    <row r="33" spans="1:5" ht="31.95" customHeight="1" x14ac:dyDescent="0.2">
      <c r="A33" s="50" t="s">
        <v>927</v>
      </c>
      <c r="B33" s="51"/>
      <c r="C33" s="51"/>
      <c r="D33" s="51"/>
      <c r="E33" s="51"/>
    </row>
    <row r="35" spans="1:5" ht="18" x14ac:dyDescent="0.45">
      <c r="A35" s="20" t="s">
        <v>928</v>
      </c>
    </row>
    <row r="36" spans="1:5" ht="18" x14ac:dyDescent="0.2">
      <c r="A36" s="54" t="s">
        <v>929</v>
      </c>
      <c r="B36" s="51"/>
      <c r="C36" s="51"/>
      <c r="D36" s="4" t="s">
        <v>930</v>
      </c>
      <c r="E36" s="4" t="s">
        <v>522</v>
      </c>
    </row>
    <row r="37" spans="1:5" ht="18" customHeight="1" x14ac:dyDescent="0.45">
      <c r="A37" s="53" t="s">
        <v>931</v>
      </c>
      <c r="B37" s="51"/>
      <c r="C37" s="51"/>
      <c r="D37" s="34">
        <v>0</v>
      </c>
      <c r="E37" s="22" t="s">
        <v>901</v>
      </c>
    </row>
    <row r="38" spans="1:5" ht="30" customHeight="1" x14ac:dyDescent="0.45">
      <c r="A38" s="53" t="s">
        <v>932</v>
      </c>
      <c r="B38" s="51"/>
      <c r="C38" s="51"/>
      <c r="D38" s="34">
        <v>2500</v>
      </c>
      <c r="E38" s="22" t="s">
        <v>901</v>
      </c>
    </row>
    <row r="39" spans="1:5" ht="18" customHeight="1" x14ac:dyDescent="0.45">
      <c r="A39" s="53" t="s">
        <v>933</v>
      </c>
      <c r="B39" s="51"/>
      <c r="C39" s="51"/>
      <c r="D39" s="34">
        <v>5000</v>
      </c>
      <c r="E39" s="22" t="s">
        <v>901</v>
      </c>
    </row>
    <row r="40" spans="1:5" ht="30" customHeight="1" x14ac:dyDescent="0.45">
      <c r="A40" s="53" t="s">
        <v>934</v>
      </c>
      <c r="B40" s="51"/>
      <c r="C40" s="51"/>
      <c r="D40" s="34">
        <v>5000</v>
      </c>
      <c r="E40" s="22" t="s">
        <v>901</v>
      </c>
    </row>
    <row r="41" spans="1:5" ht="30" customHeight="1" x14ac:dyDescent="0.45">
      <c r="A41" s="53" t="s">
        <v>935</v>
      </c>
      <c r="B41" s="51"/>
      <c r="C41" s="51"/>
      <c r="D41" s="34">
        <v>10000</v>
      </c>
      <c r="E41" s="22" t="s">
        <v>901</v>
      </c>
    </row>
    <row r="42" spans="1:5" ht="30" customHeight="1" x14ac:dyDescent="0.45">
      <c r="A42" s="53" t="s">
        <v>936</v>
      </c>
      <c r="B42" s="51"/>
      <c r="C42" s="51"/>
      <c r="D42" s="34">
        <v>20000</v>
      </c>
      <c r="E42" s="22" t="s">
        <v>901</v>
      </c>
    </row>
    <row r="43" spans="1:5" ht="31.95" customHeight="1" x14ac:dyDescent="0.2">
      <c r="A43" s="52" t="s">
        <v>937</v>
      </c>
      <c r="B43" s="51"/>
      <c r="C43" s="51"/>
      <c r="D43" s="51"/>
      <c r="E43" s="51"/>
    </row>
    <row r="45" spans="1:5" ht="22.05" customHeight="1" x14ac:dyDescent="0.5">
      <c r="A45" s="13" t="s">
        <v>528</v>
      </c>
    </row>
    <row r="46" spans="1:5" ht="18" customHeight="1" x14ac:dyDescent="0.2">
      <c r="A46" s="50" t="s">
        <v>938</v>
      </c>
      <c r="B46" s="51"/>
      <c r="C46" s="51"/>
      <c r="D46" s="51"/>
      <c r="E46" s="51"/>
    </row>
    <row r="47" spans="1:5" ht="31.95" customHeight="1" x14ac:dyDescent="0.2">
      <c r="A47" s="50" t="s">
        <v>939</v>
      </c>
      <c r="B47" s="51"/>
      <c r="C47" s="51"/>
      <c r="D47" s="51"/>
      <c r="E47" s="51"/>
    </row>
    <row r="48" spans="1:5" ht="18" customHeight="1" x14ac:dyDescent="0.2">
      <c r="A48" s="50" t="s">
        <v>940</v>
      </c>
      <c r="B48" s="51"/>
      <c r="C48" s="51"/>
      <c r="D48" s="51"/>
      <c r="E48" s="51"/>
    </row>
    <row r="49" spans="1:5" ht="18" customHeight="1" x14ac:dyDescent="0.2">
      <c r="A49" s="50" t="s">
        <v>941</v>
      </c>
      <c r="B49" s="51"/>
      <c r="C49" s="51"/>
      <c r="D49" s="51"/>
      <c r="E49" s="51"/>
    </row>
    <row r="51" spans="1:5" ht="22.05" customHeight="1" x14ac:dyDescent="0.5">
      <c r="A51" s="13" t="s">
        <v>879</v>
      </c>
    </row>
    <row r="52" spans="1:5" ht="18" customHeight="1" x14ac:dyDescent="0.2">
      <c r="A52" s="50" t="s">
        <v>942</v>
      </c>
      <c r="B52" s="51"/>
      <c r="C52" s="51"/>
      <c r="D52" s="51"/>
      <c r="E52" s="51"/>
    </row>
    <row r="53" spans="1:5" ht="18" customHeight="1" x14ac:dyDescent="0.2">
      <c r="A53" s="50" t="s">
        <v>943</v>
      </c>
      <c r="B53" s="51"/>
      <c r="C53" s="51"/>
      <c r="D53" s="51"/>
      <c r="E53" s="51"/>
    </row>
    <row r="54" spans="1:5" ht="18" customHeight="1" x14ac:dyDescent="0.2">
      <c r="A54" s="50" t="s">
        <v>944</v>
      </c>
      <c r="B54" s="51"/>
      <c r="C54" s="51"/>
      <c r="D54" s="51"/>
      <c r="E54" s="51"/>
    </row>
    <row r="55" spans="1:5" ht="31.95" customHeight="1" x14ac:dyDescent="0.2">
      <c r="A55" s="50" t="s">
        <v>945</v>
      </c>
      <c r="B55" s="51"/>
      <c r="C55" s="51"/>
      <c r="D55" s="51"/>
      <c r="E55" s="51"/>
    </row>
    <row r="56" spans="1:5" ht="31.95" customHeight="1" x14ac:dyDescent="0.2">
      <c r="A56" s="50" t="s">
        <v>946</v>
      </c>
      <c r="B56" s="51"/>
      <c r="C56" s="51"/>
      <c r="D56" s="51"/>
      <c r="E56" s="51"/>
    </row>
    <row r="57" spans="1:5" ht="31.95" customHeight="1" x14ac:dyDescent="0.2">
      <c r="A57" s="50" t="s">
        <v>947</v>
      </c>
      <c r="B57" s="51"/>
      <c r="C57" s="51"/>
      <c r="D57" s="51"/>
      <c r="E57" s="51"/>
    </row>
    <row r="58" spans="1:5" ht="18" customHeight="1" x14ac:dyDescent="0.2">
      <c r="A58" s="50" t="s">
        <v>948</v>
      </c>
      <c r="B58" s="51"/>
      <c r="C58" s="51"/>
      <c r="D58" s="51"/>
      <c r="E58" s="51"/>
    </row>
    <row r="60" spans="1:5" ht="22.05" customHeight="1" x14ac:dyDescent="0.5">
      <c r="A60" s="13" t="s">
        <v>532</v>
      </c>
    </row>
    <row r="61" spans="1:5" ht="31.95" customHeight="1" x14ac:dyDescent="0.2">
      <c r="A61" s="50" t="s">
        <v>949</v>
      </c>
      <c r="B61" s="51"/>
      <c r="C61" s="51"/>
      <c r="D61" s="51"/>
      <c r="E61" s="51"/>
    </row>
    <row r="62" spans="1:5" ht="18" customHeight="1" x14ac:dyDescent="0.2">
      <c r="A62" s="50" t="s">
        <v>950</v>
      </c>
      <c r="B62" s="51"/>
      <c r="C62" s="51"/>
      <c r="D62" s="51"/>
      <c r="E62" s="51"/>
    </row>
    <row r="63" spans="1:5" ht="31.95" customHeight="1" x14ac:dyDescent="0.2">
      <c r="A63" s="50" t="s">
        <v>951</v>
      </c>
      <c r="B63" s="51"/>
      <c r="C63" s="51"/>
      <c r="D63" s="51"/>
      <c r="E63" s="51"/>
    </row>
    <row r="64" spans="1:5" ht="18" customHeight="1" x14ac:dyDescent="0.2">
      <c r="A64" s="50" t="s">
        <v>952</v>
      </c>
      <c r="B64" s="51"/>
      <c r="C64" s="51"/>
      <c r="D64" s="51"/>
      <c r="E64" s="51"/>
    </row>
    <row r="65" spans="1:5" ht="18" customHeight="1" x14ac:dyDescent="0.2">
      <c r="A65" s="50" t="s">
        <v>953</v>
      </c>
      <c r="B65" s="51"/>
      <c r="C65" s="51"/>
      <c r="D65" s="51"/>
      <c r="E65" s="51"/>
    </row>
    <row r="66" spans="1:5" ht="18" customHeight="1" x14ac:dyDescent="0.2">
      <c r="A66" s="50" t="s">
        <v>954</v>
      </c>
      <c r="B66" s="51"/>
      <c r="C66" s="51"/>
      <c r="D66" s="51"/>
      <c r="E66" s="51"/>
    </row>
    <row r="67" spans="1:5" ht="18" customHeight="1" x14ac:dyDescent="0.2">
      <c r="A67" s="50" t="s">
        <v>955</v>
      </c>
      <c r="B67" s="51"/>
      <c r="C67" s="51"/>
      <c r="D67" s="51"/>
      <c r="E67" s="51"/>
    </row>
    <row r="68" spans="1:5" ht="31.95" customHeight="1" x14ac:dyDescent="0.2">
      <c r="A68" s="50" t="s">
        <v>956</v>
      </c>
      <c r="B68" s="51"/>
      <c r="C68" s="51"/>
      <c r="D68" s="51"/>
      <c r="E68" s="51"/>
    </row>
    <row r="70" spans="1:5" ht="22.05" customHeight="1" x14ac:dyDescent="0.5">
      <c r="A70" s="13" t="s">
        <v>957</v>
      </c>
    </row>
    <row r="71" spans="1:5" ht="18" customHeight="1" x14ac:dyDescent="0.2">
      <c r="A71" s="50" t="s">
        <v>958</v>
      </c>
      <c r="B71" s="51"/>
      <c r="C71" s="51"/>
      <c r="D71" s="51"/>
      <c r="E71" s="51"/>
    </row>
    <row r="72" spans="1:5" ht="18" customHeight="1" x14ac:dyDescent="0.2">
      <c r="A72" s="50" t="s">
        <v>959</v>
      </c>
      <c r="B72" s="51"/>
      <c r="C72" s="51"/>
      <c r="D72" s="51"/>
      <c r="E72" s="51"/>
    </row>
    <row r="73" spans="1:5" ht="31.95" customHeight="1" x14ac:dyDescent="0.2">
      <c r="A73" s="50" t="s">
        <v>960</v>
      </c>
      <c r="B73" s="51"/>
      <c r="C73" s="51"/>
      <c r="D73" s="51"/>
      <c r="E73" s="51"/>
    </row>
    <row r="74" spans="1:5" ht="18" customHeight="1" x14ac:dyDescent="0.2">
      <c r="A74" s="50" t="s">
        <v>961</v>
      </c>
      <c r="B74" s="51"/>
      <c r="C74" s="51"/>
      <c r="D74" s="51"/>
      <c r="E74" s="51"/>
    </row>
    <row r="75" spans="1:5" ht="18" customHeight="1" x14ac:dyDescent="0.2">
      <c r="A75" s="50" t="s">
        <v>962</v>
      </c>
      <c r="B75" s="51"/>
      <c r="C75" s="51"/>
      <c r="D75" s="51"/>
      <c r="E75" s="51"/>
    </row>
  </sheetData>
  <autoFilter ref="A5:E17" xr:uid="{00000000-0009-0000-0000-000004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113"/>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6" customWidth="1"/>
    <col min="6" max="6" width="14" customWidth="1"/>
    <col min="7" max="8" width="34" customWidth="1"/>
    <col min="9" max="9" width="24" customWidth="1"/>
    <col min="10" max="10" width="40" customWidth="1"/>
    <col min="11" max="11" width="14" customWidth="1"/>
  </cols>
  <sheetData>
    <row r="1" spans="1:11" ht="25.95" customHeight="1" x14ac:dyDescent="0.6">
      <c r="A1" s="1" t="s">
        <v>963</v>
      </c>
    </row>
    <row r="2" spans="1:11" ht="18" customHeight="1" x14ac:dyDescent="0.2">
      <c r="A2" s="52" t="s">
        <v>964</v>
      </c>
      <c r="B2" s="51"/>
      <c r="C2" s="51"/>
      <c r="D2" s="51"/>
      <c r="E2" s="51"/>
      <c r="F2" s="51"/>
      <c r="G2" s="51"/>
      <c r="H2" s="51"/>
      <c r="I2" s="51"/>
      <c r="J2" s="51"/>
      <c r="K2" s="51"/>
    </row>
    <row r="4" spans="1:11" ht="30" customHeight="1" x14ac:dyDescent="0.2">
      <c r="A4" s="4" t="s">
        <v>518</v>
      </c>
      <c r="B4" s="4" t="s">
        <v>965</v>
      </c>
      <c r="C4" s="4" t="s">
        <v>966</v>
      </c>
      <c r="D4" s="4" t="s">
        <v>967</v>
      </c>
      <c r="E4" s="4" t="s">
        <v>968</v>
      </c>
      <c r="F4" s="4" t="s">
        <v>969</v>
      </c>
      <c r="G4" s="4" t="s">
        <v>970</v>
      </c>
      <c r="H4" s="4" t="s">
        <v>971</v>
      </c>
      <c r="I4" s="4" t="s">
        <v>972</v>
      </c>
      <c r="J4" s="4" t="s">
        <v>973</v>
      </c>
      <c r="K4" s="4" t="s">
        <v>522</v>
      </c>
    </row>
    <row r="5" spans="1:11" ht="60" customHeight="1" x14ac:dyDescent="0.45">
      <c r="A5" s="15" t="s">
        <v>974</v>
      </c>
      <c r="B5" s="3" t="s">
        <v>975</v>
      </c>
      <c r="C5" s="35">
        <v>386700</v>
      </c>
      <c r="D5" s="3" t="s">
        <v>976</v>
      </c>
      <c r="E5" s="3" t="s">
        <v>977</v>
      </c>
      <c r="F5" s="3" t="s">
        <v>978</v>
      </c>
      <c r="G5" s="3" t="s">
        <v>979</v>
      </c>
      <c r="H5" s="3" t="s">
        <v>980</v>
      </c>
      <c r="I5" s="3" t="s">
        <v>981</v>
      </c>
      <c r="J5" s="3" t="s">
        <v>982</v>
      </c>
      <c r="K5" s="3" t="s">
        <v>983</v>
      </c>
    </row>
    <row r="6" spans="1:11" ht="60" customHeight="1" x14ac:dyDescent="0.45">
      <c r="A6" s="15" t="s">
        <v>974</v>
      </c>
      <c r="B6" s="3" t="s">
        <v>984</v>
      </c>
      <c r="C6" s="35">
        <v>34594</v>
      </c>
      <c r="D6" s="3" t="s">
        <v>985</v>
      </c>
      <c r="E6" s="3" t="s">
        <v>977</v>
      </c>
      <c r="F6" s="3" t="s">
        <v>978</v>
      </c>
      <c r="G6" s="3" t="s">
        <v>986</v>
      </c>
      <c r="H6" s="3" t="s">
        <v>987</v>
      </c>
      <c r="I6" s="3" t="s">
        <v>988</v>
      </c>
      <c r="J6" s="3" t="s">
        <v>989</v>
      </c>
      <c r="K6" s="3" t="s">
        <v>983</v>
      </c>
    </row>
    <row r="7" spans="1:11" ht="45" customHeight="1" x14ac:dyDescent="0.45">
      <c r="A7" s="15" t="s">
        <v>974</v>
      </c>
      <c r="B7" s="3" t="s">
        <v>990</v>
      </c>
      <c r="C7" s="35">
        <v>2910</v>
      </c>
      <c r="D7" s="3" t="s">
        <v>991</v>
      </c>
      <c r="E7" s="3" t="s">
        <v>992</v>
      </c>
      <c r="F7" s="3" t="s">
        <v>993</v>
      </c>
      <c r="G7" s="3" t="s">
        <v>994</v>
      </c>
      <c r="H7" s="3" t="s">
        <v>995</v>
      </c>
      <c r="I7" s="3" t="s">
        <v>981</v>
      </c>
      <c r="J7" s="3" t="s">
        <v>996</v>
      </c>
      <c r="K7" s="3" t="s">
        <v>997</v>
      </c>
    </row>
    <row r="8" spans="1:11" ht="75" customHeight="1" x14ac:dyDescent="0.45">
      <c r="A8" s="15" t="s">
        <v>523</v>
      </c>
      <c r="B8" s="3" t="s">
        <v>998</v>
      </c>
      <c r="C8" s="35">
        <v>7094.1</v>
      </c>
      <c r="D8" s="3" t="s">
        <v>999</v>
      </c>
      <c r="E8" s="3" t="s">
        <v>1000</v>
      </c>
      <c r="F8" s="3" t="s">
        <v>993</v>
      </c>
      <c r="G8" s="3" t="s">
        <v>1001</v>
      </c>
      <c r="H8" s="3" t="s">
        <v>1002</v>
      </c>
      <c r="I8" s="3" t="s">
        <v>981</v>
      </c>
      <c r="J8" s="3" t="s">
        <v>1003</v>
      </c>
      <c r="K8" s="3" t="s">
        <v>1004</v>
      </c>
    </row>
    <row r="9" spans="1:11" ht="30" customHeight="1" x14ac:dyDescent="0.45">
      <c r="A9" s="15" t="s">
        <v>523</v>
      </c>
      <c r="B9" s="3" t="s">
        <v>1005</v>
      </c>
      <c r="C9" s="35">
        <v>2589346.5</v>
      </c>
      <c r="D9" s="3" t="s">
        <v>976</v>
      </c>
      <c r="E9" s="3" t="s">
        <v>1000</v>
      </c>
      <c r="F9" s="3" t="s">
        <v>1006</v>
      </c>
      <c r="G9" s="3" t="s">
        <v>1007</v>
      </c>
      <c r="H9" s="3" t="s">
        <v>1008</v>
      </c>
      <c r="I9" s="3" t="s">
        <v>981</v>
      </c>
      <c r="J9" s="3" t="s">
        <v>1009</v>
      </c>
      <c r="K9" s="3" t="s">
        <v>1004</v>
      </c>
    </row>
    <row r="10" spans="1:11" ht="75" customHeight="1" x14ac:dyDescent="0.45">
      <c r="A10" s="15" t="s">
        <v>523</v>
      </c>
      <c r="B10" s="3" t="s">
        <v>1010</v>
      </c>
      <c r="C10" s="35">
        <v>7100.3</v>
      </c>
      <c r="D10" s="3" t="s">
        <v>999</v>
      </c>
      <c r="E10" s="3" t="s">
        <v>1000</v>
      </c>
      <c r="F10" s="3" t="s">
        <v>993</v>
      </c>
      <c r="G10" s="3" t="s">
        <v>1001</v>
      </c>
      <c r="H10" s="3" t="s">
        <v>1011</v>
      </c>
      <c r="I10" s="3" t="s">
        <v>981</v>
      </c>
      <c r="J10" s="3" t="s">
        <v>1003</v>
      </c>
      <c r="K10" s="3" t="s">
        <v>1004</v>
      </c>
    </row>
    <row r="11" spans="1:11" ht="30" customHeight="1" x14ac:dyDescent="0.45">
      <c r="A11" s="15" t="s">
        <v>523</v>
      </c>
      <c r="B11" s="3" t="s">
        <v>1012</v>
      </c>
      <c r="C11" s="35">
        <v>2591609.5</v>
      </c>
      <c r="D11" s="3" t="s">
        <v>976</v>
      </c>
      <c r="E11" s="3" t="s">
        <v>1000</v>
      </c>
      <c r="F11" s="3" t="s">
        <v>1006</v>
      </c>
      <c r="G11" s="3" t="s">
        <v>1007</v>
      </c>
      <c r="H11" s="3" t="s">
        <v>1008</v>
      </c>
      <c r="I11" s="3" t="s">
        <v>981</v>
      </c>
      <c r="J11" s="3" t="s">
        <v>1013</v>
      </c>
      <c r="K11" s="3" t="s">
        <v>1004</v>
      </c>
    </row>
    <row r="12" spans="1:11" ht="90" customHeight="1" x14ac:dyDescent="0.45">
      <c r="A12" s="15" t="s">
        <v>523</v>
      </c>
      <c r="B12" s="3" t="s">
        <v>1014</v>
      </c>
      <c r="C12" s="35">
        <v>4792</v>
      </c>
      <c r="D12" s="3" t="s">
        <v>999</v>
      </c>
      <c r="E12" s="3" t="s">
        <v>1000</v>
      </c>
      <c r="F12" s="3" t="s">
        <v>993</v>
      </c>
      <c r="G12" s="3" t="s">
        <v>1001</v>
      </c>
      <c r="H12" s="3" t="s">
        <v>1015</v>
      </c>
      <c r="I12" s="3" t="s">
        <v>981</v>
      </c>
      <c r="J12" s="3" t="s">
        <v>1016</v>
      </c>
      <c r="K12" s="3" t="s">
        <v>1004</v>
      </c>
    </row>
    <row r="13" spans="1:11" ht="30" customHeight="1" x14ac:dyDescent="0.45">
      <c r="A13" s="15" t="s">
        <v>523</v>
      </c>
      <c r="B13" s="3" t="s">
        <v>1017</v>
      </c>
      <c r="C13" s="35">
        <v>1749080</v>
      </c>
      <c r="D13" s="3" t="s">
        <v>976</v>
      </c>
      <c r="E13" s="3" t="s">
        <v>1000</v>
      </c>
      <c r="F13" s="3" t="s">
        <v>1006</v>
      </c>
      <c r="G13" s="3" t="s">
        <v>1007</v>
      </c>
      <c r="H13" s="3" t="s">
        <v>1008</v>
      </c>
      <c r="I13" s="3" t="s">
        <v>981</v>
      </c>
      <c r="J13" s="3" t="s">
        <v>1018</v>
      </c>
      <c r="K13" s="3" t="s">
        <v>1004</v>
      </c>
    </row>
    <row r="14" spans="1:11" ht="60" customHeight="1" x14ac:dyDescent="0.45">
      <c r="A14" s="15" t="s">
        <v>523</v>
      </c>
      <c r="B14" s="3" t="s">
        <v>1019</v>
      </c>
      <c r="C14" s="35">
        <v>6439.5</v>
      </c>
      <c r="D14" s="3" t="s">
        <v>999</v>
      </c>
      <c r="E14" s="3" t="s">
        <v>1000</v>
      </c>
      <c r="F14" s="3" t="s">
        <v>993</v>
      </c>
      <c r="G14" s="3" t="s">
        <v>1001</v>
      </c>
      <c r="H14" s="3" t="s">
        <v>1020</v>
      </c>
      <c r="I14" s="3" t="s">
        <v>981</v>
      </c>
      <c r="J14" s="3" t="s">
        <v>1021</v>
      </c>
      <c r="K14" s="3" t="s">
        <v>1004</v>
      </c>
    </row>
    <row r="15" spans="1:11" ht="30" customHeight="1" x14ac:dyDescent="0.45">
      <c r="A15" s="15" t="s">
        <v>523</v>
      </c>
      <c r="B15" s="3" t="s">
        <v>1022</v>
      </c>
      <c r="C15" s="35">
        <v>2350417.5</v>
      </c>
      <c r="D15" s="3" t="s">
        <v>976</v>
      </c>
      <c r="E15" s="3" t="s">
        <v>1000</v>
      </c>
      <c r="F15" s="3" t="s">
        <v>1006</v>
      </c>
      <c r="G15" s="3" t="s">
        <v>1007</v>
      </c>
      <c r="H15" s="3" t="s">
        <v>1008</v>
      </c>
      <c r="I15" s="3" t="s">
        <v>981</v>
      </c>
      <c r="J15" s="3" t="s">
        <v>1023</v>
      </c>
      <c r="K15" s="3" t="s">
        <v>1004</v>
      </c>
    </row>
    <row r="16" spans="1:11" ht="75" customHeight="1" x14ac:dyDescent="0.45">
      <c r="A16" s="15" t="s">
        <v>523</v>
      </c>
      <c r="B16" s="3" t="s">
        <v>1024</v>
      </c>
      <c r="C16" s="35">
        <v>4166.8</v>
      </c>
      <c r="D16" s="3" t="s">
        <v>999</v>
      </c>
      <c r="E16" s="3" t="s">
        <v>1000</v>
      </c>
      <c r="F16" s="3" t="s">
        <v>993</v>
      </c>
      <c r="G16" s="3" t="s">
        <v>1001</v>
      </c>
      <c r="H16" s="3" t="s">
        <v>1025</v>
      </c>
      <c r="I16" s="3" t="s">
        <v>981</v>
      </c>
      <c r="J16" s="3" t="s">
        <v>1021</v>
      </c>
      <c r="K16" s="3" t="s">
        <v>1004</v>
      </c>
    </row>
    <row r="17" spans="1:11" ht="30" customHeight="1" x14ac:dyDescent="0.45">
      <c r="A17" s="15" t="s">
        <v>523</v>
      </c>
      <c r="B17" s="3" t="s">
        <v>1026</v>
      </c>
      <c r="C17" s="35">
        <v>1520882</v>
      </c>
      <c r="D17" s="3" t="s">
        <v>976</v>
      </c>
      <c r="E17" s="3" t="s">
        <v>1000</v>
      </c>
      <c r="F17" s="3" t="s">
        <v>1006</v>
      </c>
      <c r="G17" s="3" t="s">
        <v>1007</v>
      </c>
      <c r="H17" s="3" t="s">
        <v>1008</v>
      </c>
      <c r="I17" s="3" t="s">
        <v>981</v>
      </c>
      <c r="J17" s="3" t="s">
        <v>1027</v>
      </c>
      <c r="K17" s="3" t="s">
        <v>1004</v>
      </c>
    </row>
    <row r="18" spans="1:11" ht="60" customHeight="1" x14ac:dyDescent="0.45">
      <c r="A18" s="15" t="s">
        <v>523</v>
      </c>
      <c r="B18" s="3" t="s">
        <v>1028</v>
      </c>
      <c r="C18" s="35">
        <v>4845.5</v>
      </c>
      <c r="D18" s="3" t="s">
        <v>999</v>
      </c>
      <c r="E18" s="3" t="s">
        <v>1000</v>
      </c>
      <c r="F18" s="3" t="s">
        <v>993</v>
      </c>
      <c r="G18" s="3" t="s">
        <v>1001</v>
      </c>
      <c r="H18" s="3" t="s">
        <v>1029</v>
      </c>
      <c r="I18" s="3" t="s">
        <v>981</v>
      </c>
      <c r="J18" s="3" t="s">
        <v>1021</v>
      </c>
      <c r="K18" s="3" t="s">
        <v>1004</v>
      </c>
    </row>
    <row r="19" spans="1:11" ht="30" customHeight="1" x14ac:dyDescent="0.45">
      <c r="A19" s="15" t="s">
        <v>523</v>
      </c>
      <c r="B19" s="3" t="s">
        <v>1030</v>
      </c>
      <c r="C19" s="35">
        <v>1768607.5</v>
      </c>
      <c r="D19" s="3" t="s">
        <v>976</v>
      </c>
      <c r="E19" s="3" t="s">
        <v>1000</v>
      </c>
      <c r="F19" s="3" t="s">
        <v>1006</v>
      </c>
      <c r="G19" s="3" t="s">
        <v>1007</v>
      </c>
      <c r="H19" s="3" t="s">
        <v>1008</v>
      </c>
      <c r="I19" s="3" t="s">
        <v>981</v>
      </c>
      <c r="J19" s="3" t="s">
        <v>1031</v>
      </c>
      <c r="K19" s="3" t="s">
        <v>1004</v>
      </c>
    </row>
    <row r="20" spans="1:11" ht="90" customHeight="1" x14ac:dyDescent="0.45">
      <c r="A20" s="15" t="s">
        <v>523</v>
      </c>
      <c r="B20" s="3" t="s">
        <v>1032</v>
      </c>
      <c r="C20" s="35">
        <v>3259205</v>
      </c>
      <c r="D20" s="3" t="s">
        <v>976</v>
      </c>
      <c r="E20" s="3" t="s">
        <v>1033</v>
      </c>
      <c r="F20" s="3" t="s">
        <v>978</v>
      </c>
      <c r="G20" s="3" t="s">
        <v>1034</v>
      </c>
      <c r="H20" s="3" t="s">
        <v>1035</v>
      </c>
      <c r="I20" s="3" t="s">
        <v>981</v>
      </c>
      <c r="J20" s="3" t="s">
        <v>1036</v>
      </c>
      <c r="K20" s="3" t="s">
        <v>1037</v>
      </c>
    </row>
    <row r="21" spans="1:11" ht="45" customHeight="1" x14ac:dyDescent="0.45">
      <c r="A21" s="15" t="s">
        <v>523</v>
      </c>
      <c r="B21" s="3" t="s">
        <v>1038</v>
      </c>
      <c r="C21" s="35">
        <v>2263998</v>
      </c>
      <c r="D21" s="3" t="s">
        <v>976</v>
      </c>
      <c r="E21" s="3" t="s">
        <v>1039</v>
      </c>
      <c r="F21" s="3" t="s">
        <v>978</v>
      </c>
      <c r="G21" s="3" t="s">
        <v>1040</v>
      </c>
      <c r="H21" s="3" t="s">
        <v>1041</v>
      </c>
      <c r="I21" s="3" t="s">
        <v>981</v>
      </c>
      <c r="J21" s="3" t="s">
        <v>1042</v>
      </c>
      <c r="K21" s="3" t="s">
        <v>1037</v>
      </c>
    </row>
    <row r="22" spans="1:11" ht="30" customHeight="1" x14ac:dyDescent="0.45">
      <c r="A22" s="15" t="s">
        <v>523</v>
      </c>
      <c r="B22" s="3" t="s">
        <v>1043</v>
      </c>
      <c r="C22" s="35">
        <v>171211</v>
      </c>
      <c r="D22" s="3" t="s">
        <v>976</v>
      </c>
      <c r="E22" s="3" t="s">
        <v>1039</v>
      </c>
      <c r="F22" s="3" t="s">
        <v>978</v>
      </c>
      <c r="G22" s="3" t="s">
        <v>1040</v>
      </c>
      <c r="H22" s="3" t="s">
        <v>1044</v>
      </c>
      <c r="I22" s="3" t="s">
        <v>981</v>
      </c>
      <c r="J22" s="3" t="s">
        <v>1045</v>
      </c>
      <c r="K22" s="3" t="s">
        <v>1037</v>
      </c>
    </row>
    <row r="23" spans="1:11" ht="60" customHeight="1" x14ac:dyDescent="0.45">
      <c r="A23" s="15" t="s">
        <v>523</v>
      </c>
      <c r="B23" s="3" t="s">
        <v>1046</v>
      </c>
      <c r="C23" s="35">
        <v>823996</v>
      </c>
      <c r="D23" s="3" t="s">
        <v>976</v>
      </c>
      <c r="E23" s="3" t="s">
        <v>1039</v>
      </c>
      <c r="F23" s="3" t="s">
        <v>1006</v>
      </c>
      <c r="G23" s="3" t="s">
        <v>1047</v>
      </c>
      <c r="H23" s="3" t="s">
        <v>1048</v>
      </c>
      <c r="I23" s="3" t="s">
        <v>981</v>
      </c>
      <c r="J23" s="3" t="s">
        <v>1049</v>
      </c>
      <c r="K23" s="3" t="s">
        <v>1037</v>
      </c>
    </row>
    <row r="24" spans="1:11" ht="75" customHeight="1" x14ac:dyDescent="0.45">
      <c r="A24" s="15" t="s">
        <v>523</v>
      </c>
      <c r="B24" s="3" t="s">
        <v>1050</v>
      </c>
      <c r="C24" s="35">
        <v>10390</v>
      </c>
      <c r="D24" s="3" t="s">
        <v>1051</v>
      </c>
      <c r="E24" s="3" t="s">
        <v>992</v>
      </c>
      <c r="F24" s="3" t="s">
        <v>1006</v>
      </c>
      <c r="G24" s="3" t="s">
        <v>1052</v>
      </c>
      <c r="H24" s="3" t="s">
        <v>1053</v>
      </c>
      <c r="I24" s="3" t="s">
        <v>981</v>
      </c>
      <c r="J24" s="3" t="s">
        <v>1054</v>
      </c>
      <c r="K24" s="3" t="s">
        <v>1055</v>
      </c>
    </row>
    <row r="25" spans="1:11" ht="60" customHeight="1" x14ac:dyDescent="0.45">
      <c r="A25" s="15" t="s">
        <v>523</v>
      </c>
      <c r="B25" s="3" t="s">
        <v>1056</v>
      </c>
      <c r="C25" s="35">
        <v>1090</v>
      </c>
      <c r="D25" s="3" t="s">
        <v>1051</v>
      </c>
      <c r="E25" s="3" t="s">
        <v>992</v>
      </c>
      <c r="F25" s="3" t="s">
        <v>993</v>
      </c>
      <c r="G25" s="3" t="s">
        <v>1057</v>
      </c>
      <c r="H25" s="3" t="s">
        <v>1058</v>
      </c>
      <c r="I25" s="3" t="s">
        <v>981</v>
      </c>
      <c r="J25" s="3" t="s">
        <v>1059</v>
      </c>
      <c r="K25" s="3" t="s">
        <v>1055</v>
      </c>
    </row>
    <row r="26" spans="1:11" ht="45" customHeight="1" x14ac:dyDescent="0.45">
      <c r="A26" s="15" t="s">
        <v>523</v>
      </c>
      <c r="B26" s="3" t="s">
        <v>1060</v>
      </c>
      <c r="C26" s="35">
        <v>3500</v>
      </c>
      <c r="D26" s="3" t="s">
        <v>999</v>
      </c>
      <c r="E26" s="3" t="s">
        <v>992</v>
      </c>
      <c r="F26" s="3" t="s">
        <v>993</v>
      </c>
      <c r="G26" s="3" t="s">
        <v>1061</v>
      </c>
      <c r="H26" s="3" t="s">
        <v>1062</v>
      </c>
      <c r="I26" s="3" t="s">
        <v>981</v>
      </c>
      <c r="J26" s="3" t="s">
        <v>1063</v>
      </c>
      <c r="K26" s="3" t="s">
        <v>1055</v>
      </c>
    </row>
    <row r="27" spans="1:11" ht="135" customHeight="1" x14ac:dyDescent="0.45">
      <c r="A27" s="15" t="s">
        <v>523</v>
      </c>
      <c r="B27" s="3" t="s">
        <v>1064</v>
      </c>
      <c r="C27" s="35">
        <v>81500079</v>
      </c>
      <c r="D27" s="3" t="s">
        <v>1065</v>
      </c>
      <c r="E27" s="3" t="s">
        <v>1066</v>
      </c>
      <c r="F27" s="3" t="s">
        <v>1067</v>
      </c>
      <c r="G27" s="3" t="s">
        <v>1068</v>
      </c>
      <c r="H27" s="3" t="s">
        <v>1069</v>
      </c>
      <c r="I27" s="3" t="s">
        <v>981</v>
      </c>
      <c r="J27" s="3" t="s">
        <v>1070</v>
      </c>
      <c r="K27" s="3" t="s">
        <v>1071</v>
      </c>
    </row>
    <row r="28" spans="1:11" ht="75" customHeight="1" x14ac:dyDescent="0.45">
      <c r="A28" s="15" t="s">
        <v>523</v>
      </c>
      <c r="B28" s="3" t="s">
        <v>1072</v>
      </c>
      <c r="C28" s="35">
        <v>20000</v>
      </c>
      <c r="D28" s="3" t="s">
        <v>1073</v>
      </c>
      <c r="E28" s="3" t="s">
        <v>1074</v>
      </c>
      <c r="F28" s="3" t="s">
        <v>993</v>
      </c>
      <c r="G28" s="3" t="s">
        <v>1075</v>
      </c>
      <c r="H28" s="3" t="s">
        <v>1076</v>
      </c>
      <c r="I28" s="3" t="s">
        <v>1077</v>
      </c>
      <c r="J28" s="3" t="s">
        <v>1078</v>
      </c>
      <c r="K28" s="3" t="s">
        <v>1079</v>
      </c>
    </row>
    <row r="29" spans="1:11" ht="60" customHeight="1" x14ac:dyDescent="0.45">
      <c r="A29" s="15" t="s">
        <v>523</v>
      </c>
      <c r="B29" s="3" t="s">
        <v>1080</v>
      </c>
      <c r="C29" s="35">
        <v>18</v>
      </c>
      <c r="D29" s="3" t="s">
        <v>1081</v>
      </c>
      <c r="E29" s="3" t="s">
        <v>1074</v>
      </c>
      <c r="F29" s="3" t="s">
        <v>993</v>
      </c>
      <c r="G29" s="3" t="s">
        <v>1082</v>
      </c>
      <c r="H29" s="3" t="s">
        <v>1083</v>
      </c>
      <c r="I29" s="3" t="s">
        <v>1084</v>
      </c>
      <c r="J29" s="3" t="s">
        <v>1085</v>
      </c>
      <c r="K29" s="3" t="s">
        <v>1086</v>
      </c>
    </row>
    <row r="30" spans="1:11" ht="105" customHeight="1" x14ac:dyDescent="0.2">
      <c r="A30" s="15" t="s">
        <v>523</v>
      </c>
      <c r="B30" s="3" t="s">
        <v>1087</v>
      </c>
      <c r="C30" s="36" t="s">
        <v>1088</v>
      </c>
      <c r="D30" s="3"/>
      <c r="E30" s="3" t="s">
        <v>1089</v>
      </c>
      <c r="F30" s="3" t="s">
        <v>993</v>
      </c>
      <c r="G30" s="3" t="s">
        <v>1090</v>
      </c>
      <c r="H30" s="3" t="s">
        <v>1091</v>
      </c>
      <c r="I30" s="3" t="s">
        <v>988</v>
      </c>
      <c r="J30" s="3" t="s">
        <v>1092</v>
      </c>
      <c r="K30" s="3" t="s">
        <v>1093</v>
      </c>
    </row>
    <row r="31" spans="1:11" ht="45" customHeight="1" x14ac:dyDescent="0.45">
      <c r="A31" s="15" t="s">
        <v>523</v>
      </c>
      <c r="B31" s="3" t="s">
        <v>1094</v>
      </c>
      <c r="C31" s="35">
        <v>372</v>
      </c>
      <c r="D31" s="3" t="s">
        <v>1095</v>
      </c>
      <c r="E31" s="3" t="s">
        <v>1096</v>
      </c>
      <c r="F31" s="3" t="s">
        <v>993</v>
      </c>
      <c r="G31" s="3" t="s">
        <v>1097</v>
      </c>
      <c r="H31" s="3" t="s">
        <v>1098</v>
      </c>
      <c r="I31" s="3" t="s">
        <v>988</v>
      </c>
      <c r="J31" s="3" t="s">
        <v>1099</v>
      </c>
      <c r="K31" s="3" t="s">
        <v>1100</v>
      </c>
    </row>
    <row r="32" spans="1:11" ht="120" customHeight="1" x14ac:dyDescent="0.2">
      <c r="A32" s="15" t="s">
        <v>523</v>
      </c>
      <c r="B32" s="3" t="s">
        <v>1101</v>
      </c>
      <c r="C32" s="36" t="s">
        <v>1088</v>
      </c>
      <c r="D32" s="3"/>
      <c r="E32" s="3"/>
      <c r="F32" s="3" t="s">
        <v>978</v>
      </c>
      <c r="G32" s="3" t="s">
        <v>1102</v>
      </c>
      <c r="H32" s="3" t="s">
        <v>1103</v>
      </c>
      <c r="I32" s="3" t="s">
        <v>1104</v>
      </c>
      <c r="J32" s="3" t="s">
        <v>1105</v>
      </c>
      <c r="K32" s="3" t="s">
        <v>1037</v>
      </c>
    </row>
    <row r="33" spans="1:11" ht="75" customHeight="1" x14ac:dyDescent="0.45">
      <c r="A33" s="15" t="s">
        <v>532</v>
      </c>
      <c r="B33" s="3" t="s">
        <v>1106</v>
      </c>
      <c r="C33" s="35">
        <v>6</v>
      </c>
      <c r="D33" s="3" t="s">
        <v>1107</v>
      </c>
      <c r="E33" s="3" t="s">
        <v>1108</v>
      </c>
      <c r="F33" s="3" t="s">
        <v>993</v>
      </c>
      <c r="G33" s="3" t="s">
        <v>1109</v>
      </c>
      <c r="H33" s="3" t="s">
        <v>1110</v>
      </c>
      <c r="I33" s="3" t="s">
        <v>1084</v>
      </c>
      <c r="J33" s="3" t="s">
        <v>1111</v>
      </c>
      <c r="K33" s="3" t="s">
        <v>1112</v>
      </c>
    </row>
    <row r="34" spans="1:11" ht="45" customHeight="1" x14ac:dyDescent="0.45">
      <c r="A34" s="15" t="s">
        <v>532</v>
      </c>
      <c r="B34" s="3" t="s">
        <v>1113</v>
      </c>
      <c r="C34" s="35">
        <v>18</v>
      </c>
      <c r="D34" s="3" t="s">
        <v>1114</v>
      </c>
      <c r="E34" s="3" t="s">
        <v>1115</v>
      </c>
      <c r="F34" s="3" t="s">
        <v>993</v>
      </c>
      <c r="G34" s="3" t="s">
        <v>1116</v>
      </c>
      <c r="H34" s="3" t="s">
        <v>1117</v>
      </c>
      <c r="I34" s="3" t="s">
        <v>1084</v>
      </c>
      <c r="J34" s="3" t="s">
        <v>1118</v>
      </c>
      <c r="K34" s="3" t="s">
        <v>1119</v>
      </c>
    </row>
    <row r="35" spans="1:11" ht="30" customHeight="1" x14ac:dyDescent="0.45">
      <c r="A35" s="15" t="s">
        <v>532</v>
      </c>
      <c r="B35" s="3" t="s">
        <v>1120</v>
      </c>
      <c r="C35" s="35">
        <v>44.3</v>
      </c>
      <c r="D35" s="3" t="s">
        <v>1121</v>
      </c>
      <c r="E35" s="3" t="s">
        <v>1122</v>
      </c>
      <c r="F35" s="3" t="s">
        <v>978</v>
      </c>
      <c r="G35" s="3" t="s">
        <v>1123</v>
      </c>
      <c r="H35" s="3" t="s">
        <v>1124</v>
      </c>
      <c r="I35" s="3" t="s">
        <v>1084</v>
      </c>
      <c r="J35" s="3" t="s">
        <v>1125</v>
      </c>
      <c r="K35" s="3" t="s">
        <v>1126</v>
      </c>
    </row>
    <row r="36" spans="1:11" ht="30" customHeight="1" x14ac:dyDescent="0.45">
      <c r="A36" s="15" t="s">
        <v>532</v>
      </c>
      <c r="B36" s="3" t="s">
        <v>1127</v>
      </c>
      <c r="C36" s="35">
        <v>55.9</v>
      </c>
      <c r="D36" s="3" t="s">
        <v>1121</v>
      </c>
      <c r="E36" s="3" t="s">
        <v>1128</v>
      </c>
      <c r="F36" s="3" t="s">
        <v>978</v>
      </c>
      <c r="G36" s="3" t="s">
        <v>1129</v>
      </c>
      <c r="H36" s="3" t="s">
        <v>1130</v>
      </c>
      <c r="I36" s="3" t="s">
        <v>1084</v>
      </c>
      <c r="J36" s="3" t="s">
        <v>1131</v>
      </c>
      <c r="K36" s="3" t="s">
        <v>1132</v>
      </c>
    </row>
    <row r="37" spans="1:11" ht="75" customHeight="1" x14ac:dyDescent="0.45">
      <c r="A37" s="15" t="s">
        <v>532</v>
      </c>
      <c r="B37" s="3" t="s">
        <v>1133</v>
      </c>
      <c r="C37" s="35">
        <v>24360</v>
      </c>
      <c r="D37" s="3" t="s">
        <v>999</v>
      </c>
      <c r="E37" s="3" t="s">
        <v>992</v>
      </c>
      <c r="F37" s="3" t="s">
        <v>1006</v>
      </c>
      <c r="G37" s="3" t="s">
        <v>1134</v>
      </c>
      <c r="H37" s="3" t="s">
        <v>1135</v>
      </c>
      <c r="I37" s="3" t="s">
        <v>981</v>
      </c>
      <c r="J37" s="3" t="s">
        <v>1136</v>
      </c>
      <c r="K37" s="3" t="s">
        <v>997</v>
      </c>
    </row>
    <row r="38" spans="1:11" ht="60" customHeight="1" x14ac:dyDescent="0.45">
      <c r="A38" s="15" t="s">
        <v>532</v>
      </c>
      <c r="B38" s="3" t="s">
        <v>1137</v>
      </c>
      <c r="C38" s="35">
        <v>1282560</v>
      </c>
      <c r="D38" s="3" t="s">
        <v>1138</v>
      </c>
      <c r="E38" s="3" t="s">
        <v>992</v>
      </c>
      <c r="F38" s="3" t="s">
        <v>1006</v>
      </c>
      <c r="G38" s="3" t="s">
        <v>1139</v>
      </c>
      <c r="H38" s="3" t="s">
        <v>1140</v>
      </c>
      <c r="I38" s="3" t="s">
        <v>981</v>
      </c>
      <c r="J38" s="3" t="s">
        <v>1141</v>
      </c>
      <c r="K38" s="3" t="s">
        <v>1142</v>
      </c>
    </row>
    <row r="39" spans="1:11" ht="60" customHeight="1" x14ac:dyDescent="0.2">
      <c r="A39" s="15" t="s">
        <v>532</v>
      </c>
      <c r="B39" s="3" t="s">
        <v>1143</v>
      </c>
      <c r="C39" s="36" t="s">
        <v>1088</v>
      </c>
      <c r="D39" s="3"/>
      <c r="E39" s="3"/>
      <c r="F39" s="3" t="s">
        <v>978</v>
      </c>
      <c r="G39" s="3" t="s">
        <v>1144</v>
      </c>
      <c r="H39" s="3" t="s">
        <v>1145</v>
      </c>
      <c r="I39" s="3" t="s">
        <v>981</v>
      </c>
      <c r="J39" s="3" t="s">
        <v>1146</v>
      </c>
      <c r="K39" s="3"/>
    </row>
    <row r="40" spans="1:11" ht="45" customHeight="1" x14ac:dyDescent="0.45">
      <c r="A40" s="15" t="s">
        <v>532</v>
      </c>
      <c r="B40" s="3" t="s">
        <v>1147</v>
      </c>
      <c r="C40" s="35">
        <v>123</v>
      </c>
      <c r="D40" s="3" t="s">
        <v>985</v>
      </c>
      <c r="E40" s="3" t="s">
        <v>977</v>
      </c>
      <c r="F40" s="3" t="s">
        <v>978</v>
      </c>
      <c r="G40" s="3" t="s">
        <v>1148</v>
      </c>
      <c r="H40" s="3" t="s">
        <v>1149</v>
      </c>
      <c r="I40" s="3" t="s">
        <v>981</v>
      </c>
      <c r="J40" s="3" t="s">
        <v>1150</v>
      </c>
      <c r="K40" s="3" t="s">
        <v>983</v>
      </c>
    </row>
    <row r="41" spans="1:11" ht="60" customHeight="1" x14ac:dyDescent="0.45">
      <c r="A41" s="15" t="s">
        <v>532</v>
      </c>
      <c r="B41" s="3" t="s">
        <v>1151</v>
      </c>
      <c r="C41" s="35">
        <v>162</v>
      </c>
      <c r="D41" s="3" t="s">
        <v>985</v>
      </c>
      <c r="E41" s="3" t="s">
        <v>977</v>
      </c>
      <c r="F41" s="3" t="s">
        <v>978</v>
      </c>
      <c r="G41" s="3" t="s">
        <v>1152</v>
      </c>
      <c r="H41" s="3" t="s">
        <v>1153</v>
      </c>
      <c r="I41" s="3" t="s">
        <v>981</v>
      </c>
      <c r="J41" s="3" t="s">
        <v>1154</v>
      </c>
      <c r="K41" s="3" t="s">
        <v>983</v>
      </c>
    </row>
    <row r="42" spans="1:11" ht="45" customHeight="1" x14ac:dyDescent="0.45">
      <c r="A42" s="15" t="s">
        <v>532</v>
      </c>
      <c r="B42" s="3" t="s">
        <v>1155</v>
      </c>
      <c r="C42" s="35">
        <v>39</v>
      </c>
      <c r="D42" s="3" t="s">
        <v>985</v>
      </c>
      <c r="E42" s="3" t="s">
        <v>977</v>
      </c>
      <c r="F42" s="3" t="s">
        <v>978</v>
      </c>
      <c r="G42" s="3" t="s">
        <v>1156</v>
      </c>
      <c r="H42" s="3" t="s">
        <v>1157</v>
      </c>
      <c r="I42" s="3" t="s">
        <v>981</v>
      </c>
      <c r="J42" s="3" t="s">
        <v>1158</v>
      </c>
      <c r="K42" s="3" t="s">
        <v>983</v>
      </c>
    </row>
    <row r="43" spans="1:11" ht="45" customHeight="1" x14ac:dyDescent="0.2">
      <c r="A43" s="15" t="s">
        <v>532</v>
      </c>
      <c r="B43" s="3" t="s">
        <v>1159</v>
      </c>
      <c r="C43" s="36" t="s">
        <v>1088</v>
      </c>
      <c r="D43" s="3"/>
      <c r="E43" s="3"/>
      <c r="F43" s="3" t="s">
        <v>978</v>
      </c>
      <c r="G43" s="3" t="s">
        <v>1160</v>
      </c>
      <c r="H43" s="3" t="s">
        <v>1161</v>
      </c>
      <c r="I43" s="3" t="s">
        <v>981</v>
      </c>
      <c r="J43" s="3" t="s">
        <v>1162</v>
      </c>
      <c r="K43" s="3"/>
    </row>
    <row r="44" spans="1:11" ht="45" customHeight="1" x14ac:dyDescent="0.45">
      <c r="A44" s="15" t="s">
        <v>532</v>
      </c>
      <c r="B44" s="3" t="s">
        <v>1163</v>
      </c>
      <c r="C44" s="35">
        <v>10.8</v>
      </c>
      <c r="D44" s="3" t="s">
        <v>1164</v>
      </c>
      <c r="E44" s="3" t="s">
        <v>1000</v>
      </c>
      <c r="F44" s="3" t="s">
        <v>993</v>
      </c>
      <c r="G44" s="3" t="s">
        <v>1165</v>
      </c>
      <c r="H44" s="3" t="s">
        <v>1166</v>
      </c>
      <c r="I44" s="3" t="s">
        <v>981</v>
      </c>
      <c r="J44" s="3" t="s">
        <v>1167</v>
      </c>
      <c r="K44" s="3" t="s">
        <v>1168</v>
      </c>
    </row>
    <row r="45" spans="1:11" ht="60" customHeight="1" x14ac:dyDescent="0.45">
      <c r="A45" s="15" t="s">
        <v>532</v>
      </c>
      <c r="B45" s="3" t="s">
        <v>1169</v>
      </c>
      <c r="C45" s="35">
        <v>10.8</v>
      </c>
      <c r="D45" s="3" t="s">
        <v>1164</v>
      </c>
      <c r="E45" s="3" t="s">
        <v>1000</v>
      </c>
      <c r="F45" s="3" t="s">
        <v>993</v>
      </c>
      <c r="G45" s="3" t="s">
        <v>1165</v>
      </c>
      <c r="H45" s="3" t="s">
        <v>1170</v>
      </c>
      <c r="I45" s="3" t="s">
        <v>981</v>
      </c>
      <c r="J45" s="3" t="s">
        <v>1171</v>
      </c>
      <c r="K45" s="3" t="s">
        <v>1168</v>
      </c>
    </row>
    <row r="46" spans="1:11" ht="45" customHeight="1" x14ac:dyDescent="0.45">
      <c r="A46" s="15" t="s">
        <v>532</v>
      </c>
      <c r="B46" s="3" t="s">
        <v>1172</v>
      </c>
      <c r="C46" s="35">
        <v>18.8</v>
      </c>
      <c r="D46" s="3" t="s">
        <v>1164</v>
      </c>
      <c r="E46" s="3" t="s">
        <v>1000</v>
      </c>
      <c r="F46" s="3" t="s">
        <v>993</v>
      </c>
      <c r="G46" s="3" t="s">
        <v>1165</v>
      </c>
      <c r="H46" s="3" t="s">
        <v>1173</v>
      </c>
      <c r="I46" s="3" t="s">
        <v>981</v>
      </c>
      <c r="J46" s="3" t="s">
        <v>1174</v>
      </c>
      <c r="K46" s="3" t="s">
        <v>1168</v>
      </c>
    </row>
    <row r="47" spans="1:11" ht="60" customHeight="1" x14ac:dyDescent="0.45">
      <c r="A47" s="15" t="s">
        <v>532</v>
      </c>
      <c r="B47" s="3" t="s">
        <v>1175</v>
      </c>
      <c r="C47" s="35">
        <v>32.200000000000003</v>
      </c>
      <c r="D47" s="3" t="s">
        <v>1164</v>
      </c>
      <c r="E47" s="3" t="s">
        <v>1000</v>
      </c>
      <c r="F47" s="3" t="s">
        <v>993</v>
      </c>
      <c r="G47" s="3" t="s">
        <v>1165</v>
      </c>
      <c r="H47" s="3" t="s">
        <v>1176</v>
      </c>
      <c r="I47" s="3" t="s">
        <v>981</v>
      </c>
      <c r="J47" s="3" t="s">
        <v>1177</v>
      </c>
      <c r="K47" s="3" t="s">
        <v>1168</v>
      </c>
    </row>
    <row r="48" spans="1:11" ht="45" customHeight="1" x14ac:dyDescent="0.45">
      <c r="A48" s="15" t="s">
        <v>532</v>
      </c>
      <c r="B48" s="3" t="s">
        <v>1178</v>
      </c>
      <c r="C48" s="35">
        <v>5999.2</v>
      </c>
      <c r="D48" s="3" t="s">
        <v>1164</v>
      </c>
      <c r="E48" s="3" t="s">
        <v>1000</v>
      </c>
      <c r="F48" s="3" t="s">
        <v>993</v>
      </c>
      <c r="G48" s="3" t="s">
        <v>1165</v>
      </c>
      <c r="H48" s="3" t="s">
        <v>1179</v>
      </c>
      <c r="I48" s="3" t="s">
        <v>981</v>
      </c>
      <c r="J48" s="3" t="s">
        <v>1180</v>
      </c>
      <c r="K48" s="3" t="s">
        <v>1168</v>
      </c>
    </row>
    <row r="49" spans="1:11" ht="45" customHeight="1" x14ac:dyDescent="0.45">
      <c r="A49" s="15" t="s">
        <v>532</v>
      </c>
      <c r="B49" s="3" t="s">
        <v>1181</v>
      </c>
      <c r="C49" s="35">
        <v>21636.5</v>
      </c>
      <c r="D49" s="3" t="s">
        <v>1164</v>
      </c>
      <c r="E49" s="3" t="s">
        <v>1000</v>
      </c>
      <c r="F49" s="3" t="s">
        <v>993</v>
      </c>
      <c r="G49" s="3" t="s">
        <v>1165</v>
      </c>
      <c r="H49" s="3" t="s">
        <v>1182</v>
      </c>
      <c r="I49" s="3" t="s">
        <v>981</v>
      </c>
      <c r="J49" s="3" t="s">
        <v>1180</v>
      </c>
      <c r="K49" s="3" t="s">
        <v>1168</v>
      </c>
    </row>
    <row r="50" spans="1:11" ht="60" customHeight="1" x14ac:dyDescent="0.2">
      <c r="A50" s="15" t="s">
        <v>532</v>
      </c>
      <c r="B50" s="3" t="s">
        <v>1183</v>
      </c>
      <c r="C50" s="36" t="s">
        <v>1088</v>
      </c>
      <c r="D50" s="3"/>
      <c r="E50" s="3"/>
      <c r="F50" s="3" t="s">
        <v>1067</v>
      </c>
      <c r="G50" s="3" t="s">
        <v>1184</v>
      </c>
      <c r="H50" s="3" t="s">
        <v>1185</v>
      </c>
      <c r="I50" s="3" t="s">
        <v>981</v>
      </c>
      <c r="J50" s="3" t="s">
        <v>1186</v>
      </c>
      <c r="K50" s="3"/>
    </row>
    <row r="51" spans="1:11" ht="120" customHeight="1" x14ac:dyDescent="0.45">
      <c r="A51" s="15" t="s">
        <v>532</v>
      </c>
      <c r="B51" s="3" t="s">
        <v>1187</v>
      </c>
      <c r="C51" s="35">
        <v>4100</v>
      </c>
      <c r="D51" s="3" t="s">
        <v>1051</v>
      </c>
      <c r="E51" s="3" t="s">
        <v>992</v>
      </c>
      <c r="F51" s="3" t="s">
        <v>993</v>
      </c>
      <c r="G51" s="3" t="s">
        <v>1188</v>
      </c>
      <c r="H51" s="3" t="s">
        <v>1189</v>
      </c>
      <c r="I51" s="3" t="s">
        <v>981</v>
      </c>
      <c r="J51" s="3" t="s">
        <v>1190</v>
      </c>
      <c r="K51" s="3" t="s">
        <v>1055</v>
      </c>
    </row>
    <row r="52" spans="1:11" ht="45" customHeight="1" x14ac:dyDescent="0.45">
      <c r="A52" s="15" t="s">
        <v>532</v>
      </c>
      <c r="B52" s="3" t="s">
        <v>1191</v>
      </c>
      <c r="C52" s="35">
        <v>5</v>
      </c>
      <c r="D52" s="3" t="s">
        <v>1192</v>
      </c>
      <c r="E52" s="3" t="s">
        <v>1089</v>
      </c>
      <c r="F52" s="3" t="s">
        <v>993</v>
      </c>
      <c r="G52" s="3" t="s">
        <v>1193</v>
      </c>
      <c r="H52" s="3" t="s">
        <v>1194</v>
      </c>
      <c r="I52" s="3" t="s">
        <v>1077</v>
      </c>
      <c r="J52" s="3" t="s">
        <v>1195</v>
      </c>
      <c r="K52" s="3" t="s">
        <v>1196</v>
      </c>
    </row>
    <row r="53" spans="1:11" ht="45" customHeight="1" x14ac:dyDescent="0.45">
      <c r="A53" s="15" t="s">
        <v>532</v>
      </c>
      <c r="B53" s="3" t="s">
        <v>1197</v>
      </c>
      <c r="C53" s="35">
        <v>20000</v>
      </c>
      <c r="D53" s="3" t="s">
        <v>1198</v>
      </c>
      <c r="E53" s="3" t="s">
        <v>1074</v>
      </c>
      <c r="F53" s="3" t="s">
        <v>993</v>
      </c>
      <c r="G53" s="3" t="s">
        <v>1199</v>
      </c>
      <c r="H53" s="3" t="s">
        <v>1200</v>
      </c>
      <c r="I53" s="3" t="s">
        <v>1077</v>
      </c>
      <c r="J53" s="3" t="s">
        <v>1201</v>
      </c>
      <c r="K53" s="3" t="s">
        <v>1196</v>
      </c>
    </row>
    <row r="54" spans="1:11" ht="45" customHeight="1" x14ac:dyDescent="0.45">
      <c r="A54" s="15" t="s">
        <v>532</v>
      </c>
      <c r="B54" s="3" t="s">
        <v>1202</v>
      </c>
      <c r="C54" s="35">
        <v>2993</v>
      </c>
      <c r="D54" s="3" t="s">
        <v>1095</v>
      </c>
      <c r="E54" s="3" t="s">
        <v>1096</v>
      </c>
      <c r="F54" s="3" t="s">
        <v>993</v>
      </c>
      <c r="G54" s="3" t="s">
        <v>1203</v>
      </c>
      <c r="H54" s="3" t="s">
        <v>1204</v>
      </c>
      <c r="I54" s="3" t="s">
        <v>988</v>
      </c>
      <c r="J54" s="3" t="s">
        <v>1205</v>
      </c>
      <c r="K54" s="3" t="s">
        <v>1206</v>
      </c>
    </row>
    <row r="55" spans="1:11" ht="75" customHeight="1" x14ac:dyDescent="0.2">
      <c r="A55" s="15" t="s">
        <v>532</v>
      </c>
      <c r="B55" s="3" t="s">
        <v>1207</v>
      </c>
      <c r="C55" s="36" t="s">
        <v>1088</v>
      </c>
      <c r="D55" s="3"/>
      <c r="E55" s="3"/>
      <c r="F55" s="3" t="s">
        <v>978</v>
      </c>
      <c r="G55" s="3" t="s">
        <v>1208</v>
      </c>
      <c r="H55" s="3" t="s">
        <v>1209</v>
      </c>
      <c r="I55" s="3" t="s">
        <v>988</v>
      </c>
      <c r="J55" s="3" t="s">
        <v>1210</v>
      </c>
      <c r="K55" s="3"/>
    </row>
    <row r="56" spans="1:11" ht="60" customHeight="1" x14ac:dyDescent="0.45">
      <c r="A56" s="15" t="s">
        <v>532</v>
      </c>
      <c r="B56" s="3" t="s">
        <v>1211</v>
      </c>
      <c r="C56" s="35">
        <v>1200</v>
      </c>
      <c r="D56" s="3" t="s">
        <v>1095</v>
      </c>
      <c r="E56" s="3" t="s">
        <v>1096</v>
      </c>
      <c r="F56" s="3" t="s">
        <v>993</v>
      </c>
      <c r="G56" s="3" t="s">
        <v>1212</v>
      </c>
      <c r="H56" s="3" t="s">
        <v>1213</v>
      </c>
      <c r="I56" s="3" t="s">
        <v>988</v>
      </c>
      <c r="J56" s="3" t="s">
        <v>1214</v>
      </c>
      <c r="K56" s="3" t="s">
        <v>1206</v>
      </c>
    </row>
    <row r="57" spans="1:11" ht="30" customHeight="1" x14ac:dyDescent="0.2">
      <c r="A57" s="15" t="s">
        <v>532</v>
      </c>
      <c r="B57" s="3" t="s">
        <v>1215</v>
      </c>
      <c r="C57" s="36" t="s">
        <v>1088</v>
      </c>
      <c r="D57" s="3"/>
      <c r="E57" s="3"/>
      <c r="F57" s="3" t="s">
        <v>978</v>
      </c>
      <c r="G57" s="3" t="s">
        <v>1216</v>
      </c>
      <c r="H57" s="3" t="s">
        <v>1217</v>
      </c>
      <c r="I57" s="3" t="s">
        <v>988</v>
      </c>
      <c r="J57" s="3" t="s">
        <v>1218</v>
      </c>
      <c r="K57" s="3"/>
    </row>
    <row r="58" spans="1:11" ht="45" customHeight="1" x14ac:dyDescent="0.2">
      <c r="A58" s="15" t="s">
        <v>532</v>
      </c>
      <c r="B58" s="3" t="s">
        <v>1219</v>
      </c>
      <c r="C58" s="36" t="s">
        <v>1088</v>
      </c>
      <c r="D58" s="3"/>
      <c r="E58" s="3"/>
      <c r="F58" s="3" t="s">
        <v>978</v>
      </c>
      <c r="G58" s="3" t="s">
        <v>1220</v>
      </c>
      <c r="H58" s="3" t="s">
        <v>1221</v>
      </c>
      <c r="I58" s="3" t="s">
        <v>988</v>
      </c>
      <c r="J58" s="3" t="s">
        <v>1222</v>
      </c>
      <c r="K58" s="3"/>
    </row>
    <row r="59" spans="1:11" ht="105" customHeight="1" x14ac:dyDescent="0.45">
      <c r="A59" s="15" t="s">
        <v>532</v>
      </c>
      <c r="B59" s="3" t="s">
        <v>1223</v>
      </c>
      <c r="C59" s="35">
        <v>32.9</v>
      </c>
      <c r="D59" s="3" t="s">
        <v>1224</v>
      </c>
      <c r="E59" s="3" t="s">
        <v>1225</v>
      </c>
      <c r="F59" s="3" t="s">
        <v>978</v>
      </c>
      <c r="G59" s="3" t="s">
        <v>1226</v>
      </c>
      <c r="H59" s="3" t="s">
        <v>1227</v>
      </c>
      <c r="I59" s="3" t="s">
        <v>1084</v>
      </c>
      <c r="J59" s="3" t="s">
        <v>1228</v>
      </c>
      <c r="K59" s="3" t="s">
        <v>1229</v>
      </c>
    </row>
    <row r="60" spans="1:11" ht="60" customHeight="1" x14ac:dyDescent="0.45">
      <c r="A60" s="15" t="s">
        <v>528</v>
      </c>
      <c r="B60" s="3" t="s">
        <v>1230</v>
      </c>
      <c r="C60" s="35">
        <v>530</v>
      </c>
      <c r="D60" s="3" t="s">
        <v>1051</v>
      </c>
      <c r="E60" s="3" t="s">
        <v>992</v>
      </c>
      <c r="F60" s="3" t="s">
        <v>993</v>
      </c>
      <c r="G60" s="3" t="s">
        <v>1231</v>
      </c>
      <c r="H60" s="3" t="s">
        <v>1232</v>
      </c>
      <c r="I60" s="3" t="s">
        <v>981</v>
      </c>
      <c r="J60" s="3" t="s">
        <v>1233</v>
      </c>
      <c r="K60" s="3" t="s">
        <v>1234</v>
      </c>
    </row>
    <row r="61" spans="1:11" ht="60" customHeight="1" x14ac:dyDescent="0.45">
      <c r="A61" s="15" t="s">
        <v>528</v>
      </c>
      <c r="B61" s="3" t="s">
        <v>1235</v>
      </c>
      <c r="C61" s="35">
        <v>5620</v>
      </c>
      <c r="D61" s="3" t="s">
        <v>1051</v>
      </c>
      <c r="E61" s="3" t="s">
        <v>992</v>
      </c>
      <c r="F61" s="3" t="s">
        <v>1006</v>
      </c>
      <c r="G61" s="3" t="s">
        <v>1236</v>
      </c>
      <c r="H61" s="3" t="s">
        <v>1237</v>
      </c>
      <c r="I61" s="3" t="s">
        <v>981</v>
      </c>
      <c r="J61" s="3" t="s">
        <v>1238</v>
      </c>
      <c r="K61" s="3" t="s">
        <v>1055</v>
      </c>
    </row>
    <row r="62" spans="1:11" ht="60" customHeight="1" x14ac:dyDescent="0.45">
      <c r="A62" s="15" t="s">
        <v>528</v>
      </c>
      <c r="B62" s="3" t="s">
        <v>1239</v>
      </c>
      <c r="C62" s="35">
        <v>10025</v>
      </c>
      <c r="D62" s="3" t="s">
        <v>1240</v>
      </c>
      <c r="E62" s="3" t="s">
        <v>1000</v>
      </c>
      <c r="F62" s="3" t="s">
        <v>993</v>
      </c>
      <c r="G62" s="3" t="s">
        <v>1241</v>
      </c>
      <c r="H62" s="3" t="s">
        <v>1242</v>
      </c>
      <c r="I62" s="3" t="s">
        <v>981</v>
      </c>
      <c r="J62" s="3" t="s">
        <v>1243</v>
      </c>
      <c r="K62" s="3" t="s">
        <v>1244</v>
      </c>
    </row>
    <row r="63" spans="1:11" ht="60" customHeight="1" x14ac:dyDescent="0.45">
      <c r="A63" s="15" t="s">
        <v>528</v>
      </c>
      <c r="B63" s="3" t="s">
        <v>1245</v>
      </c>
      <c r="C63" s="35">
        <v>10025</v>
      </c>
      <c r="D63" s="3" t="s">
        <v>1138</v>
      </c>
      <c r="E63" s="3" t="s">
        <v>1000</v>
      </c>
      <c r="F63" s="3" t="s">
        <v>1006</v>
      </c>
      <c r="G63" s="3" t="s">
        <v>1246</v>
      </c>
      <c r="H63" s="3" t="s">
        <v>1247</v>
      </c>
      <c r="I63" s="3" t="s">
        <v>981</v>
      </c>
      <c r="J63" s="3" t="s">
        <v>1248</v>
      </c>
      <c r="K63" s="3" t="s">
        <v>1249</v>
      </c>
    </row>
    <row r="64" spans="1:11" ht="30" customHeight="1" x14ac:dyDescent="0.45">
      <c r="A64" s="15" t="s">
        <v>528</v>
      </c>
      <c r="B64" s="3" t="s">
        <v>1250</v>
      </c>
      <c r="C64" s="35">
        <v>30075</v>
      </c>
      <c r="D64" s="3" t="s">
        <v>1138</v>
      </c>
      <c r="E64" s="3" t="s">
        <v>1000</v>
      </c>
      <c r="F64" s="3" t="s">
        <v>1006</v>
      </c>
      <c r="G64" s="3" t="s">
        <v>1251</v>
      </c>
      <c r="H64" s="3" t="s">
        <v>1247</v>
      </c>
      <c r="I64" s="3" t="s">
        <v>981</v>
      </c>
      <c r="J64" s="3" t="s">
        <v>1252</v>
      </c>
      <c r="K64" s="3" t="s">
        <v>1249</v>
      </c>
    </row>
    <row r="65" spans="1:11" ht="60" customHeight="1" x14ac:dyDescent="0.45">
      <c r="A65" s="15" t="s">
        <v>528</v>
      </c>
      <c r="B65" s="3" t="s">
        <v>1253</v>
      </c>
      <c r="C65" s="35">
        <v>15.3</v>
      </c>
      <c r="D65" s="3" t="s">
        <v>1254</v>
      </c>
      <c r="E65" s="3" t="s">
        <v>1000</v>
      </c>
      <c r="F65" s="3" t="s">
        <v>993</v>
      </c>
      <c r="G65" s="3" t="s">
        <v>1255</v>
      </c>
      <c r="H65" s="3" t="s">
        <v>1256</v>
      </c>
      <c r="I65" s="3" t="s">
        <v>981</v>
      </c>
      <c r="J65" s="3" t="s">
        <v>1257</v>
      </c>
      <c r="K65" s="3" t="s">
        <v>1258</v>
      </c>
    </row>
    <row r="66" spans="1:11" ht="60" customHeight="1" x14ac:dyDescent="0.2">
      <c r="A66" s="15" t="s">
        <v>528</v>
      </c>
      <c r="B66" s="3" t="s">
        <v>1259</v>
      </c>
      <c r="C66" s="36" t="s">
        <v>1088</v>
      </c>
      <c r="D66" s="3"/>
      <c r="E66" s="3"/>
      <c r="F66" s="3" t="s">
        <v>978</v>
      </c>
      <c r="G66" s="3" t="s">
        <v>1260</v>
      </c>
      <c r="H66" s="3" t="s">
        <v>1161</v>
      </c>
      <c r="I66" s="3" t="s">
        <v>981</v>
      </c>
      <c r="J66" s="3" t="s">
        <v>1261</v>
      </c>
      <c r="K66" s="3"/>
    </row>
    <row r="67" spans="1:11" ht="45" customHeight="1" x14ac:dyDescent="0.2">
      <c r="A67" s="15" t="s">
        <v>528</v>
      </c>
      <c r="B67" s="3" t="s">
        <v>1262</v>
      </c>
      <c r="C67" s="36" t="s">
        <v>1088</v>
      </c>
      <c r="D67" s="3"/>
      <c r="E67" s="3"/>
      <c r="F67" s="3" t="s">
        <v>978</v>
      </c>
      <c r="G67" s="3" t="s">
        <v>1263</v>
      </c>
      <c r="H67" s="3" t="s">
        <v>1264</v>
      </c>
      <c r="I67" s="3" t="s">
        <v>981</v>
      </c>
      <c r="J67" s="3" t="s">
        <v>1265</v>
      </c>
      <c r="K67" s="3"/>
    </row>
    <row r="68" spans="1:11" ht="60" customHeight="1" x14ac:dyDescent="0.45">
      <c r="A68" s="15" t="s">
        <v>528</v>
      </c>
      <c r="B68" s="3" t="s">
        <v>1266</v>
      </c>
      <c r="C68" s="35">
        <v>109730</v>
      </c>
      <c r="D68" s="3" t="s">
        <v>1267</v>
      </c>
      <c r="E68" s="3" t="s">
        <v>1268</v>
      </c>
      <c r="F68" s="3" t="s">
        <v>978</v>
      </c>
      <c r="G68" s="3" t="s">
        <v>1269</v>
      </c>
      <c r="H68" s="3" t="s">
        <v>1270</v>
      </c>
      <c r="I68" s="3" t="s">
        <v>988</v>
      </c>
      <c r="J68" s="3" t="s">
        <v>1271</v>
      </c>
      <c r="K68" s="3" t="s">
        <v>1272</v>
      </c>
    </row>
    <row r="69" spans="1:11" ht="75" customHeight="1" x14ac:dyDescent="0.2">
      <c r="A69" s="15" t="s">
        <v>528</v>
      </c>
      <c r="B69" s="3" t="s">
        <v>1273</v>
      </c>
      <c r="C69" s="36" t="s">
        <v>1088</v>
      </c>
      <c r="D69" s="3"/>
      <c r="E69" s="3"/>
      <c r="F69" s="3" t="s">
        <v>993</v>
      </c>
      <c r="G69" s="3" t="s">
        <v>1274</v>
      </c>
      <c r="H69" s="3" t="s">
        <v>1275</v>
      </c>
      <c r="I69" s="3" t="s">
        <v>988</v>
      </c>
      <c r="J69" s="3" t="s">
        <v>1276</v>
      </c>
      <c r="K69" s="3" t="s">
        <v>1277</v>
      </c>
    </row>
    <row r="70" spans="1:11" ht="30" customHeight="1" x14ac:dyDescent="0.2">
      <c r="A70" s="15" t="s">
        <v>528</v>
      </c>
      <c r="B70" s="3" t="s">
        <v>1278</v>
      </c>
      <c r="C70" s="36" t="s">
        <v>1088</v>
      </c>
      <c r="D70" s="3"/>
      <c r="E70" s="3"/>
      <c r="F70" s="3" t="s">
        <v>978</v>
      </c>
      <c r="G70" s="3" t="s">
        <v>1279</v>
      </c>
      <c r="H70" s="3" t="s">
        <v>1280</v>
      </c>
      <c r="I70" s="3" t="s">
        <v>981</v>
      </c>
      <c r="J70" s="3" t="s">
        <v>1281</v>
      </c>
      <c r="K70" s="3"/>
    </row>
    <row r="71" spans="1:11" ht="75" customHeight="1" x14ac:dyDescent="0.2">
      <c r="A71" s="15" t="s">
        <v>530</v>
      </c>
      <c r="B71" s="3" t="s">
        <v>1282</v>
      </c>
      <c r="C71" s="36" t="s">
        <v>1088</v>
      </c>
      <c r="D71" s="3"/>
      <c r="E71" s="3"/>
      <c r="F71" s="3" t="s">
        <v>993</v>
      </c>
      <c r="G71" s="3" t="s">
        <v>1283</v>
      </c>
      <c r="H71" s="3" t="s">
        <v>1284</v>
      </c>
      <c r="I71" s="3" t="s">
        <v>981</v>
      </c>
      <c r="J71" s="3" t="s">
        <v>1285</v>
      </c>
      <c r="K71" s="3" t="s">
        <v>1286</v>
      </c>
    </row>
    <row r="72" spans="1:11" ht="75" customHeight="1" x14ac:dyDescent="0.45">
      <c r="A72" s="15" t="s">
        <v>530</v>
      </c>
      <c r="B72" s="3" t="s">
        <v>1287</v>
      </c>
      <c r="C72" s="35">
        <v>2000</v>
      </c>
      <c r="D72" s="3" t="s">
        <v>1051</v>
      </c>
      <c r="E72" s="3" t="s">
        <v>992</v>
      </c>
      <c r="F72" s="3" t="s">
        <v>993</v>
      </c>
      <c r="G72" s="3" t="s">
        <v>1288</v>
      </c>
      <c r="H72" s="3" t="s">
        <v>1289</v>
      </c>
      <c r="I72" s="3" t="s">
        <v>981</v>
      </c>
      <c r="J72" s="3" t="s">
        <v>1290</v>
      </c>
      <c r="K72" s="3" t="s">
        <v>1055</v>
      </c>
    </row>
    <row r="73" spans="1:11" ht="45" customHeight="1" x14ac:dyDescent="0.2">
      <c r="A73" s="15" t="s">
        <v>530</v>
      </c>
      <c r="B73" s="3" t="s">
        <v>1291</v>
      </c>
      <c r="C73" s="36" t="s">
        <v>1088</v>
      </c>
      <c r="D73" s="3"/>
      <c r="E73" s="3"/>
      <c r="F73" s="3" t="s">
        <v>978</v>
      </c>
      <c r="G73" s="3" t="s">
        <v>1292</v>
      </c>
      <c r="H73" s="3" t="s">
        <v>1293</v>
      </c>
      <c r="I73" s="3" t="s">
        <v>981</v>
      </c>
      <c r="J73" s="3" t="s">
        <v>1294</v>
      </c>
      <c r="K73" s="3"/>
    </row>
    <row r="74" spans="1:11" ht="45" customHeight="1" x14ac:dyDescent="0.2">
      <c r="A74" s="15" t="s">
        <v>530</v>
      </c>
      <c r="B74" s="3" t="s">
        <v>1295</v>
      </c>
      <c r="C74" s="36" t="s">
        <v>1088</v>
      </c>
      <c r="D74" s="3"/>
      <c r="E74" s="3"/>
      <c r="F74" s="3" t="s">
        <v>978</v>
      </c>
      <c r="G74" s="3" t="s">
        <v>1296</v>
      </c>
      <c r="H74" s="3" t="s">
        <v>1297</v>
      </c>
      <c r="I74" s="3" t="s">
        <v>981</v>
      </c>
      <c r="J74" s="3" t="s">
        <v>1298</v>
      </c>
      <c r="K74" s="3"/>
    </row>
    <row r="75" spans="1:11" ht="60" customHeight="1" x14ac:dyDescent="0.2">
      <c r="A75" s="15" t="s">
        <v>530</v>
      </c>
      <c r="B75" s="3" t="s">
        <v>1299</v>
      </c>
      <c r="C75" s="36" t="s">
        <v>1088</v>
      </c>
      <c r="D75" s="3"/>
      <c r="E75" s="3"/>
      <c r="F75" s="3" t="s">
        <v>978</v>
      </c>
      <c r="G75" s="3" t="s">
        <v>1300</v>
      </c>
      <c r="H75" s="3" t="s">
        <v>1301</v>
      </c>
      <c r="I75" s="3" t="s">
        <v>981</v>
      </c>
      <c r="J75" s="3" t="s">
        <v>1302</v>
      </c>
      <c r="K75" s="3"/>
    </row>
    <row r="76" spans="1:11" ht="45" customHeight="1" x14ac:dyDescent="0.2">
      <c r="A76" s="15" t="s">
        <v>530</v>
      </c>
      <c r="B76" s="3" t="s">
        <v>1303</v>
      </c>
      <c r="C76" s="36" t="s">
        <v>1088</v>
      </c>
      <c r="D76" s="3"/>
      <c r="E76" s="3"/>
      <c r="F76" s="3" t="s">
        <v>978</v>
      </c>
      <c r="G76" s="3" t="s">
        <v>1304</v>
      </c>
      <c r="H76" s="3" t="s">
        <v>1305</v>
      </c>
      <c r="I76" s="3" t="s">
        <v>988</v>
      </c>
      <c r="J76" s="3" t="s">
        <v>1306</v>
      </c>
      <c r="K76" s="3"/>
    </row>
    <row r="77" spans="1:11" ht="60" customHeight="1" x14ac:dyDescent="0.2">
      <c r="A77" s="15" t="s">
        <v>530</v>
      </c>
      <c r="B77" s="3" t="s">
        <v>1307</v>
      </c>
      <c r="C77" s="36" t="s">
        <v>1088</v>
      </c>
      <c r="D77" s="3"/>
      <c r="E77" s="3"/>
      <c r="F77" s="3" t="s">
        <v>978</v>
      </c>
      <c r="G77" s="3" t="s">
        <v>1304</v>
      </c>
      <c r="H77" s="3" t="s">
        <v>1308</v>
      </c>
      <c r="I77" s="3" t="s">
        <v>988</v>
      </c>
      <c r="J77" s="3" t="s">
        <v>1309</v>
      </c>
      <c r="K77" s="3"/>
    </row>
    <row r="78" spans="1:11" ht="105" customHeight="1" x14ac:dyDescent="0.2">
      <c r="A78" s="15" t="s">
        <v>530</v>
      </c>
      <c r="B78" s="3" t="s">
        <v>1310</v>
      </c>
      <c r="C78" s="36" t="s">
        <v>1088</v>
      </c>
      <c r="D78" s="3"/>
      <c r="E78" s="3"/>
      <c r="F78" s="3" t="s">
        <v>993</v>
      </c>
      <c r="G78" s="3" t="s">
        <v>1311</v>
      </c>
      <c r="H78" s="3" t="s">
        <v>1312</v>
      </c>
      <c r="I78" s="3" t="s">
        <v>988</v>
      </c>
      <c r="J78" s="3" t="s">
        <v>1313</v>
      </c>
      <c r="K78" s="3" t="s">
        <v>1314</v>
      </c>
    </row>
    <row r="80" spans="1:11" ht="22.05" customHeight="1" x14ac:dyDescent="0.5">
      <c r="A80" s="13" t="s">
        <v>1315</v>
      </c>
    </row>
    <row r="81" spans="1:11" ht="31.95" customHeight="1" x14ac:dyDescent="0.2">
      <c r="A81" s="50" t="s">
        <v>1316</v>
      </c>
      <c r="B81" s="51"/>
      <c r="C81" s="51"/>
      <c r="D81" s="51"/>
      <c r="E81" s="51"/>
      <c r="F81" s="51"/>
      <c r="G81" s="51"/>
      <c r="H81" s="51"/>
      <c r="I81" s="51"/>
      <c r="J81" s="51"/>
      <c r="K81" s="51"/>
    </row>
    <row r="82" spans="1:11" ht="22.05" customHeight="1" x14ac:dyDescent="0.5">
      <c r="A82" s="13" t="s">
        <v>1315</v>
      </c>
    </row>
    <row r="83" spans="1:11" ht="31.95" customHeight="1" x14ac:dyDescent="0.2">
      <c r="A83" s="50" t="s">
        <v>1317</v>
      </c>
      <c r="B83" s="51"/>
      <c r="C83" s="51"/>
      <c r="D83" s="51"/>
      <c r="E83" s="51"/>
      <c r="F83" s="51"/>
      <c r="G83" s="51"/>
      <c r="H83" s="51"/>
      <c r="I83" s="51"/>
      <c r="J83" s="51"/>
      <c r="K83" s="51"/>
    </row>
    <row r="84" spans="1:11" ht="22.05" customHeight="1" x14ac:dyDescent="0.5">
      <c r="A84" s="13" t="s">
        <v>1315</v>
      </c>
    </row>
    <row r="85" spans="1:11" ht="31.95" customHeight="1" x14ac:dyDescent="0.2">
      <c r="A85" s="50" t="s">
        <v>1318</v>
      </c>
      <c r="B85" s="51"/>
      <c r="C85" s="51"/>
      <c r="D85" s="51"/>
      <c r="E85" s="51"/>
      <c r="F85" s="51"/>
      <c r="G85" s="51"/>
      <c r="H85" s="51"/>
      <c r="I85" s="51"/>
      <c r="J85" s="51"/>
      <c r="K85" s="51"/>
    </row>
    <row r="86" spans="1:11" ht="22.05" customHeight="1" x14ac:dyDescent="0.5">
      <c r="A86" s="13" t="s">
        <v>1319</v>
      </c>
    </row>
    <row r="87" spans="1:11" ht="31.95" customHeight="1" x14ac:dyDescent="0.2">
      <c r="A87" s="50" t="s">
        <v>1320</v>
      </c>
      <c r="B87" s="51"/>
      <c r="C87" s="51"/>
      <c r="D87" s="51"/>
      <c r="E87" s="51"/>
      <c r="F87" s="51"/>
      <c r="G87" s="51"/>
      <c r="H87" s="51"/>
      <c r="I87" s="51"/>
      <c r="J87" s="51"/>
      <c r="K87" s="51"/>
    </row>
    <row r="88" spans="1:11" ht="22.05" customHeight="1" x14ac:dyDescent="0.5">
      <c r="A88" s="13" t="s">
        <v>1319</v>
      </c>
    </row>
    <row r="89" spans="1:11" ht="96" customHeight="1" x14ac:dyDescent="0.2">
      <c r="A89" s="50" t="s">
        <v>1321</v>
      </c>
      <c r="B89" s="51"/>
      <c r="C89" s="51"/>
      <c r="D89" s="51"/>
      <c r="E89" s="51"/>
      <c r="F89" s="51"/>
      <c r="G89" s="51"/>
      <c r="H89" s="51"/>
      <c r="I89" s="51"/>
      <c r="J89" s="51"/>
      <c r="K89" s="51"/>
    </row>
    <row r="90" spans="1:11" ht="22.05" customHeight="1" x14ac:dyDescent="0.5">
      <c r="A90" s="13" t="s">
        <v>1319</v>
      </c>
    </row>
    <row r="91" spans="1:11" ht="96" customHeight="1" x14ac:dyDescent="0.2">
      <c r="A91" s="50" t="s">
        <v>1322</v>
      </c>
      <c r="B91" s="51"/>
      <c r="C91" s="51"/>
      <c r="D91" s="51"/>
      <c r="E91" s="51"/>
      <c r="F91" s="51"/>
      <c r="G91" s="51"/>
      <c r="H91" s="51"/>
      <c r="I91" s="51"/>
      <c r="J91" s="51"/>
      <c r="K91" s="51"/>
    </row>
    <row r="92" spans="1:11" ht="22.05" customHeight="1" x14ac:dyDescent="0.5">
      <c r="A92" s="13" t="s">
        <v>1319</v>
      </c>
    </row>
    <row r="93" spans="1:11" ht="160.05000000000001" customHeight="1" x14ac:dyDescent="0.2">
      <c r="A93" s="50" t="s">
        <v>1323</v>
      </c>
      <c r="B93" s="51"/>
      <c r="C93" s="51"/>
      <c r="D93" s="51"/>
      <c r="E93" s="51"/>
      <c r="F93" s="51"/>
      <c r="G93" s="51"/>
      <c r="H93" s="51"/>
      <c r="I93" s="51"/>
      <c r="J93" s="51"/>
      <c r="K93" s="51"/>
    </row>
    <row r="94" spans="1:11" ht="22.05" customHeight="1" x14ac:dyDescent="0.5">
      <c r="A94" s="13" t="s">
        <v>1319</v>
      </c>
    </row>
    <row r="95" spans="1:11" ht="48" customHeight="1" x14ac:dyDescent="0.2">
      <c r="A95" s="50" t="s">
        <v>1324</v>
      </c>
      <c r="B95" s="51"/>
      <c r="C95" s="51"/>
      <c r="D95" s="51"/>
      <c r="E95" s="51"/>
      <c r="F95" s="51"/>
      <c r="G95" s="51"/>
      <c r="H95" s="51"/>
      <c r="I95" s="51"/>
      <c r="J95" s="51"/>
      <c r="K95" s="51"/>
    </row>
    <row r="96" spans="1:11" ht="22.05" customHeight="1" x14ac:dyDescent="0.5">
      <c r="A96" s="13" t="s">
        <v>1319</v>
      </c>
    </row>
    <row r="97" spans="1:11" ht="48" customHeight="1" x14ac:dyDescent="0.2">
      <c r="A97" s="50" t="s">
        <v>1325</v>
      </c>
      <c r="B97" s="51"/>
      <c r="C97" s="51"/>
      <c r="D97" s="51"/>
      <c r="E97" s="51"/>
      <c r="F97" s="51"/>
      <c r="G97" s="51"/>
      <c r="H97" s="51"/>
      <c r="I97" s="51"/>
      <c r="J97" s="51"/>
      <c r="K97" s="51"/>
    </row>
    <row r="98" spans="1:11" ht="22.05" customHeight="1" x14ac:dyDescent="0.5">
      <c r="A98" s="13" t="s">
        <v>1319</v>
      </c>
    </row>
    <row r="99" spans="1:11" ht="18" customHeight="1" x14ac:dyDescent="0.2">
      <c r="A99" s="50" t="s">
        <v>1326</v>
      </c>
      <c r="B99" s="51"/>
      <c r="C99" s="51"/>
      <c r="D99" s="51"/>
      <c r="E99" s="51"/>
      <c r="F99" s="51"/>
      <c r="G99" s="51"/>
      <c r="H99" s="51"/>
      <c r="I99" s="51"/>
      <c r="J99" s="51"/>
      <c r="K99" s="51"/>
    </row>
    <row r="100" spans="1:11" ht="22.05" customHeight="1" x14ac:dyDescent="0.5">
      <c r="A100" s="13" t="s">
        <v>1327</v>
      </c>
    </row>
    <row r="101" spans="1:11" ht="48" customHeight="1" x14ac:dyDescent="0.2">
      <c r="A101" s="50" t="s">
        <v>1328</v>
      </c>
      <c r="B101" s="51"/>
      <c r="C101" s="51"/>
      <c r="D101" s="51"/>
      <c r="E101" s="51"/>
      <c r="F101" s="51"/>
      <c r="G101" s="51"/>
      <c r="H101" s="51"/>
      <c r="I101" s="51"/>
      <c r="J101" s="51"/>
      <c r="K101" s="51"/>
    </row>
    <row r="102" spans="1:11" ht="22.05" customHeight="1" x14ac:dyDescent="0.5">
      <c r="A102" s="13" t="s">
        <v>1329</v>
      </c>
    </row>
    <row r="103" spans="1:11" ht="64.05" customHeight="1" x14ac:dyDescent="0.2">
      <c r="A103" s="50" t="s">
        <v>1330</v>
      </c>
      <c r="B103" s="51"/>
      <c r="C103" s="51"/>
      <c r="D103" s="51"/>
      <c r="E103" s="51"/>
      <c r="F103" s="51"/>
      <c r="G103" s="51"/>
      <c r="H103" s="51"/>
      <c r="I103" s="51"/>
      <c r="J103" s="51"/>
      <c r="K103" s="51"/>
    </row>
    <row r="104" spans="1:11" ht="22.05" customHeight="1" x14ac:dyDescent="0.5">
      <c r="A104" s="13" t="s">
        <v>1331</v>
      </c>
    </row>
    <row r="105" spans="1:11" ht="48" customHeight="1" x14ac:dyDescent="0.2">
      <c r="A105" s="50" t="s">
        <v>1332</v>
      </c>
      <c r="B105" s="51"/>
      <c r="C105" s="51"/>
      <c r="D105" s="51"/>
      <c r="E105" s="51"/>
      <c r="F105" s="51"/>
      <c r="G105" s="51"/>
      <c r="H105" s="51"/>
      <c r="I105" s="51"/>
      <c r="J105" s="51"/>
      <c r="K105" s="51"/>
    </row>
    <row r="106" spans="1:11" ht="22.05" customHeight="1" x14ac:dyDescent="0.5">
      <c r="A106" s="13" t="s">
        <v>1333</v>
      </c>
    </row>
    <row r="107" spans="1:11" ht="64.05" customHeight="1" x14ac:dyDescent="0.2">
      <c r="A107" s="50" t="s">
        <v>1334</v>
      </c>
      <c r="B107" s="51"/>
      <c r="C107" s="51"/>
      <c r="D107" s="51"/>
      <c r="E107" s="51"/>
      <c r="F107" s="51"/>
      <c r="G107" s="51"/>
      <c r="H107" s="51"/>
      <c r="I107" s="51"/>
      <c r="J107" s="51"/>
      <c r="K107" s="51"/>
    </row>
    <row r="108" spans="1:11" ht="22.05" customHeight="1" x14ac:dyDescent="0.5">
      <c r="A108" s="13" t="s">
        <v>1335</v>
      </c>
    </row>
    <row r="109" spans="1:11" ht="18" customHeight="1" x14ac:dyDescent="0.2">
      <c r="A109" s="50" t="s">
        <v>1336</v>
      </c>
      <c r="B109" s="51"/>
      <c r="C109" s="51"/>
      <c r="D109" s="51"/>
      <c r="E109" s="51"/>
      <c r="F109" s="51"/>
      <c r="G109" s="51"/>
      <c r="H109" s="51"/>
      <c r="I109" s="51"/>
      <c r="J109" s="51"/>
      <c r="K109" s="51"/>
    </row>
    <row r="111" spans="1:11" ht="22.05" customHeight="1" x14ac:dyDescent="0.5">
      <c r="A111" s="13" t="s">
        <v>957</v>
      </c>
    </row>
    <row r="112" spans="1:11" ht="64.05" customHeight="1" x14ac:dyDescent="0.2">
      <c r="A112" s="50" t="s">
        <v>1337</v>
      </c>
      <c r="B112" s="51"/>
      <c r="C112" s="51"/>
      <c r="D112" s="51"/>
      <c r="E112" s="51"/>
      <c r="F112" s="51"/>
      <c r="G112" s="51"/>
      <c r="H112" s="51"/>
      <c r="I112" s="51"/>
      <c r="J112" s="51"/>
      <c r="K112" s="51"/>
    </row>
    <row r="113" spans="1:11" ht="31.95" customHeight="1" x14ac:dyDescent="0.2">
      <c r="A113" s="50" t="s">
        <v>1338</v>
      </c>
      <c r="B113" s="51"/>
      <c r="C113" s="51"/>
      <c r="D113" s="51"/>
      <c r="E113" s="51"/>
      <c r="F113" s="51"/>
      <c r="G113" s="51"/>
      <c r="H113" s="51"/>
      <c r="I113" s="51"/>
      <c r="J113" s="51"/>
      <c r="K113" s="51"/>
    </row>
  </sheetData>
  <autoFilter ref="A4:K78" xr:uid="{00000000-0009-0000-0000-000005000000}"/>
  <mergeCells count="18">
    <mergeCell ref="A112:K112"/>
    <mergeCell ref="A107:K107"/>
    <mergeCell ref="A85:K85"/>
    <mergeCell ref="A99:K99"/>
    <mergeCell ref="A113:K113"/>
    <mergeCell ref="A93:K93"/>
    <mergeCell ref="A103:K103"/>
    <mergeCell ref="A89:K89"/>
    <mergeCell ref="A109:K109"/>
    <mergeCell ref="A87:K87"/>
    <mergeCell ref="A81:K81"/>
    <mergeCell ref="A95:K95"/>
    <mergeCell ref="A2:K2"/>
    <mergeCell ref="A91:K91"/>
    <mergeCell ref="A83:K83"/>
    <mergeCell ref="A97:K97"/>
    <mergeCell ref="A105:K105"/>
    <mergeCell ref="A101:K101"/>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2" t="s">
        <v>1339</v>
      </c>
      <c r="B2" s="51"/>
      <c r="C2" s="51"/>
      <c r="D2" s="51"/>
      <c r="E2" s="51"/>
      <c r="F2" s="51"/>
      <c r="G2" s="51"/>
      <c r="H2" s="51"/>
      <c r="I2" s="51"/>
    </row>
    <row r="4" spans="1:9" ht="22.05" customHeight="1" x14ac:dyDescent="0.5">
      <c r="A4" s="13" t="s">
        <v>1340</v>
      </c>
    </row>
    <row r="5" spans="1:9" ht="30" customHeight="1" x14ac:dyDescent="0.2">
      <c r="A5" s="4" t="s">
        <v>1341</v>
      </c>
      <c r="B5" s="4" t="s">
        <v>1342</v>
      </c>
      <c r="C5" s="4" t="s">
        <v>1343</v>
      </c>
      <c r="D5" s="4" t="s">
        <v>1344</v>
      </c>
      <c r="E5" s="4" t="s">
        <v>1345</v>
      </c>
      <c r="F5" s="4" t="s">
        <v>1346</v>
      </c>
      <c r="G5" s="4" t="s">
        <v>522</v>
      </c>
    </row>
    <row r="6" spans="1:9" ht="18" x14ac:dyDescent="0.45">
      <c r="A6" s="37">
        <v>2016</v>
      </c>
      <c r="B6" s="9">
        <v>1011</v>
      </c>
      <c r="C6" s="9">
        <v>437</v>
      </c>
      <c r="D6" s="9">
        <f t="shared" ref="D6:D15" si="0">B6+C6</f>
        <v>1448</v>
      </c>
      <c r="E6" s="38" t="s">
        <v>51</v>
      </c>
      <c r="F6" s="39" t="s">
        <v>1347</v>
      </c>
      <c r="G6" s="22" t="s">
        <v>1348</v>
      </c>
    </row>
    <row r="7" spans="1:9" ht="18" x14ac:dyDescent="0.45">
      <c r="A7" s="37">
        <v>2017</v>
      </c>
      <c r="B7" s="9">
        <v>976</v>
      </c>
      <c r="C7" s="9">
        <v>413</v>
      </c>
      <c r="D7" s="9">
        <f t="shared" si="0"/>
        <v>1389</v>
      </c>
      <c r="E7" s="38">
        <f t="shared" ref="E7:E15" si="1">IF(D6="","",D7/D6-1)</f>
        <v>-4.0745856353591181E-2</v>
      </c>
      <c r="F7" s="39" t="s">
        <v>1347</v>
      </c>
      <c r="G7" s="22" t="s">
        <v>1348</v>
      </c>
    </row>
    <row r="8" spans="1:9" ht="18" x14ac:dyDescent="0.45">
      <c r="A8" s="37">
        <v>2018</v>
      </c>
      <c r="B8" s="9">
        <v>940</v>
      </c>
      <c r="C8" s="9">
        <v>377</v>
      </c>
      <c r="D8" s="9">
        <f t="shared" si="0"/>
        <v>1317</v>
      </c>
      <c r="E8" s="38">
        <f t="shared" si="1"/>
        <v>-5.1835853131749432E-2</v>
      </c>
      <c r="F8" s="39" t="s">
        <v>1347</v>
      </c>
      <c r="G8" s="22" t="s">
        <v>1348</v>
      </c>
    </row>
    <row r="9" spans="1:9" ht="18" x14ac:dyDescent="0.45">
      <c r="A9" s="37">
        <v>2019</v>
      </c>
      <c r="B9" s="9">
        <v>903</v>
      </c>
      <c r="C9" s="9">
        <v>333</v>
      </c>
      <c r="D9" s="9">
        <f t="shared" si="0"/>
        <v>1236</v>
      </c>
      <c r="E9" s="38">
        <f t="shared" si="1"/>
        <v>-6.1503416856492077E-2</v>
      </c>
      <c r="F9" s="39" t="s">
        <v>1347</v>
      </c>
      <c r="G9" s="22" t="s">
        <v>1348</v>
      </c>
    </row>
    <row r="10" spans="1:9" ht="18" x14ac:dyDescent="0.45">
      <c r="A10" s="37">
        <v>2020</v>
      </c>
      <c r="B10" s="9">
        <v>750</v>
      </c>
      <c r="C10" s="9">
        <v>345</v>
      </c>
      <c r="D10" s="9">
        <f t="shared" si="0"/>
        <v>1095</v>
      </c>
      <c r="E10" s="38">
        <f t="shared" si="1"/>
        <v>-0.11407766990291257</v>
      </c>
      <c r="F10" s="39" t="s">
        <v>1347</v>
      </c>
      <c r="G10" s="22" t="s">
        <v>1348</v>
      </c>
    </row>
    <row r="11" spans="1:9" ht="18" x14ac:dyDescent="0.45">
      <c r="A11" s="37">
        <v>2021</v>
      </c>
      <c r="B11" s="9">
        <v>742</v>
      </c>
      <c r="C11" s="9">
        <v>315</v>
      </c>
      <c r="D11" s="9">
        <f t="shared" si="0"/>
        <v>1057</v>
      </c>
      <c r="E11" s="38">
        <f t="shared" si="1"/>
        <v>-3.4703196347032006E-2</v>
      </c>
      <c r="F11" s="39" t="s">
        <v>1347</v>
      </c>
      <c r="G11" s="22" t="s">
        <v>1348</v>
      </c>
    </row>
    <row r="12" spans="1:9" ht="18" x14ac:dyDescent="0.45">
      <c r="A12" s="37">
        <v>2022</v>
      </c>
      <c r="B12" s="9">
        <v>632</v>
      </c>
      <c r="C12" s="9">
        <v>252</v>
      </c>
      <c r="D12" s="9">
        <f t="shared" si="0"/>
        <v>884</v>
      </c>
      <c r="E12" s="38">
        <f t="shared" si="1"/>
        <v>-0.16367076631977295</v>
      </c>
      <c r="F12" s="39" t="s">
        <v>1347</v>
      </c>
      <c r="G12" s="22" t="s">
        <v>1348</v>
      </c>
    </row>
    <row r="13" spans="1:9" ht="18" x14ac:dyDescent="0.45">
      <c r="A13" s="37">
        <v>2023</v>
      </c>
      <c r="B13" s="9">
        <v>669</v>
      </c>
      <c r="C13" s="9">
        <v>291</v>
      </c>
      <c r="D13" s="9">
        <f t="shared" si="0"/>
        <v>960</v>
      </c>
      <c r="E13" s="38">
        <f t="shared" si="1"/>
        <v>8.5972850678732948E-2</v>
      </c>
      <c r="F13" s="39" t="s">
        <v>1347</v>
      </c>
      <c r="G13" s="22" t="s">
        <v>1348</v>
      </c>
    </row>
    <row r="14" spans="1:9" ht="18" x14ac:dyDescent="0.45">
      <c r="A14" s="37">
        <v>2024</v>
      </c>
      <c r="B14" s="9">
        <v>662</v>
      </c>
      <c r="C14" s="9">
        <v>332</v>
      </c>
      <c r="D14" s="9">
        <f t="shared" si="0"/>
        <v>994</v>
      </c>
      <c r="E14" s="38">
        <f t="shared" si="1"/>
        <v>3.5416666666666652E-2</v>
      </c>
      <c r="F14" s="39" t="s">
        <v>1347</v>
      </c>
      <c r="G14" s="22" t="s">
        <v>1348</v>
      </c>
    </row>
    <row r="15" spans="1:9" ht="18" x14ac:dyDescent="0.45">
      <c r="A15" s="37">
        <v>2025</v>
      </c>
      <c r="B15" s="9">
        <v>624</v>
      </c>
      <c r="C15" s="9">
        <v>266</v>
      </c>
      <c r="D15" s="9">
        <f t="shared" si="0"/>
        <v>890</v>
      </c>
      <c r="E15" s="38">
        <f t="shared" si="1"/>
        <v>-0.1046277665995976</v>
      </c>
      <c r="F15" s="39" t="s">
        <v>1347</v>
      </c>
      <c r="G15" s="22" t="s">
        <v>1348</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1342</v>
      </c>
      <c r="B20" s="3" t="s">
        <v>1355</v>
      </c>
      <c r="C20" s="9">
        <v>338</v>
      </c>
      <c r="D20" s="9">
        <v>304</v>
      </c>
      <c r="E20" s="25">
        <f>C20/D20-1</f>
        <v>0.11184210526315796</v>
      </c>
      <c r="F20" s="39" t="s">
        <v>1356</v>
      </c>
      <c r="G20" s="22" t="s">
        <v>1357</v>
      </c>
    </row>
    <row r="21" spans="1:9" ht="49.95" customHeight="1" x14ac:dyDescent="0.45">
      <c r="A21" s="3" t="s">
        <v>1343</v>
      </c>
      <c r="B21" s="3" t="s">
        <v>1355</v>
      </c>
      <c r="C21" s="9">
        <v>139</v>
      </c>
      <c r="D21" s="9">
        <v>119</v>
      </c>
      <c r="E21" s="25">
        <f>C21/D21-1</f>
        <v>0.16806722689075637</v>
      </c>
      <c r="F21" s="39" t="s">
        <v>1356</v>
      </c>
      <c r="G21" s="22" t="s">
        <v>1357</v>
      </c>
    </row>
    <row r="22" spans="1:9" ht="49.95" customHeight="1" x14ac:dyDescent="0.45">
      <c r="A22" s="3" t="s">
        <v>1344</v>
      </c>
      <c r="B22" s="3" t="s">
        <v>1355</v>
      </c>
      <c r="C22" s="9">
        <v>477</v>
      </c>
      <c r="D22" s="9">
        <v>423</v>
      </c>
      <c r="E22" s="25">
        <f>C22/D22-1</f>
        <v>0.12765957446808507</v>
      </c>
      <c r="F22" s="39" t="s">
        <v>1356</v>
      </c>
      <c r="G22" s="22" t="s">
        <v>1357</v>
      </c>
    </row>
    <row r="23" spans="1:9" ht="31.95" customHeight="1" x14ac:dyDescent="0.2">
      <c r="A23" s="52" t="s">
        <v>1358</v>
      </c>
      <c r="B23" s="51"/>
      <c r="C23" s="51"/>
      <c r="D23" s="51"/>
      <c r="E23" s="51"/>
      <c r="F23" s="51"/>
      <c r="G23" s="51"/>
      <c r="H23" s="51"/>
      <c r="I23" s="51"/>
    </row>
    <row r="24" spans="1:9" ht="64.05" customHeight="1" x14ac:dyDescent="0.2">
      <c r="A24" s="52" t="s">
        <v>1359</v>
      </c>
      <c r="B24" s="51"/>
      <c r="C24" s="51"/>
      <c r="D24" s="51"/>
      <c r="E24" s="51"/>
      <c r="F24" s="51"/>
      <c r="G24" s="51"/>
      <c r="H24" s="51"/>
      <c r="I24" s="51"/>
    </row>
    <row r="26" spans="1:9" ht="22.05" customHeight="1" x14ac:dyDescent="0.5">
      <c r="A26" s="13" t="s">
        <v>1360</v>
      </c>
    </row>
    <row r="27" spans="1:9" ht="30" customHeight="1" x14ac:dyDescent="0.2">
      <c r="A27" s="4" t="s">
        <v>1346</v>
      </c>
      <c r="B27" s="4" t="s">
        <v>1361</v>
      </c>
      <c r="C27" s="4" t="s">
        <v>1362</v>
      </c>
      <c r="D27" s="4" t="s">
        <v>522</v>
      </c>
    </row>
    <row r="28" spans="1:9" ht="18" x14ac:dyDescent="0.45">
      <c r="A28" s="3" t="s">
        <v>1342</v>
      </c>
      <c r="B28" s="9">
        <v>596</v>
      </c>
      <c r="C28" s="9">
        <v>28</v>
      </c>
      <c r="D28" s="22" t="s">
        <v>1363</v>
      </c>
    </row>
    <row r="29" spans="1:9" ht="18" x14ac:dyDescent="0.45">
      <c r="A29" s="3" t="s">
        <v>1343</v>
      </c>
      <c r="B29" s="9">
        <v>248</v>
      </c>
      <c r="C29" s="9">
        <v>18</v>
      </c>
      <c r="D29" s="22" t="s">
        <v>1363</v>
      </c>
    </row>
    <row r="30" spans="1:9" ht="18" customHeight="1" x14ac:dyDescent="0.2">
      <c r="A30" s="52" t="s">
        <v>1364</v>
      </c>
      <c r="B30" s="51"/>
      <c r="C30" s="51"/>
      <c r="D30" s="51"/>
      <c r="E30" s="51"/>
      <c r="F30" s="51"/>
      <c r="G30" s="51"/>
      <c r="H30" s="51"/>
      <c r="I30" s="51"/>
    </row>
    <row r="32" spans="1:9" ht="22.05" customHeight="1" x14ac:dyDescent="0.5">
      <c r="A32" s="13" t="s">
        <v>1365</v>
      </c>
    </row>
    <row r="33" spans="1:9" ht="30" customHeight="1" x14ac:dyDescent="0.2">
      <c r="A33" s="4" t="s">
        <v>1346</v>
      </c>
      <c r="B33" s="4" t="s">
        <v>1342</v>
      </c>
      <c r="C33" s="4" t="s">
        <v>1343</v>
      </c>
      <c r="D33" s="4" t="s">
        <v>522</v>
      </c>
    </row>
    <row r="34" spans="1:9" ht="18" x14ac:dyDescent="0.45">
      <c r="A34" s="3" t="s">
        <v>1366</v>
      </c>
      <c r="B34" s="9">
        <v>1</v>
      </c>
      <c r="C34" s="9">
        <v>0</v>
      </c>
      <c r="D34" s="22" t="s">
        <v>1367</v>
      </c>
    </row>
    <row r="35" spans="1:9" ht="18" x14ac:dyDescent="0.45">
      <c r="A35" s="3" t="s">
        <v>1368</v>
      </c>
      <c r="B35" s="9">
        <v>0</v>
      </c>
      <c r="C35" s="9">
        <v>0</v>
      </c>
      <c r="D35" s="22" t="s">
        <v>1367</v>
      </c>
    </row>
    <row r="36" spans="1:9" ht="18" x14ac:dyDescent="0.45">
      <c r="A36" s="3" t="s">
        <v>1369</v>
      </c>
      <c r="B36" s="9">
        <v>8</v>
      </c>
      <c r="C36" s="9">
        <v>0</v>
      </c>
      <c r="D36" s="22" t="s">
        <v>1367</v>
      </c>
    </row>
    <row r="37" spans="1:9" ht="18" x14ac:dyDescent="0.45">
      <c r="A37" s="3" t="s">
        <v>1370</v>
      </c>
      <c r="B37" s="9">
        <v>101</v>
      </c>
      <c r="C37" s="9">
        <v>10</v>
      </c>
      <c r="D37" s="22" t="s">
        <v>1367</v>
      </c>
    </row>
    <row r="38" spans="1:9" ht="18" x14ac:dyDescent="0.45">
      <c r="A38" s="3" t="s">
        <v>1371</v>
      </c>
      <c r="B38" s="9">
        <v>118</v>
      </c>
      <c r="C38" s="9">
        <v>28</v>
      </c>
      <c r="D38" s="22" t="s">
        <v>1367</v>
      </c>
    </row>
    <row r="39" spans="1:9" ht="18" x14ac:dyDescent="0.45">
      <c r="A39" s="3" t="s">
        <v>1372</v>
      </c>
      <c r="B39" s="9">
        <v>126</v>
      </c>
      <c r="C39" s="9">
        <v>36</v>
      </c>
      <c r="D39" s="22" t="s">
        <v>1367</v>
      </c>
    </row>
    <row r="40" spans="1:9" ht="18" x14ac:dyDescent="0.45">
      <c r="A40" s="3" t="s">
        <v>1373</v>
      </c>
      <c r="B40" s="9">
        <v>90</v>
      </c>
      <c r="C40" s="9">
        <v>37</v>
      </c>
      <c r="D40" s="22" t="s">
        <v>1367</v>
      </c>
    </row>
    <row r="41" spans="1:9" ht="18" x14ac:dyDescent="0.45">
      <c r="A41" s="3" t="s">
        <v>1374</v>
      </c>
      <c r="B41" s="9">
        <v>55</v>
      </c>
      <c r="C41" s="9">
        <v>41</v>
      </c>
      <c r="D41" s="22" t="s">
        <v>1367</v>
      </c>
    </row>
    <row r="42" spans="1:9" ht="18" x14ac:dyDescent="0.45">
      <c r="A42" s="3" t="s">
        <v>1375</v>
      </c>
      <c r="B42" s="9">
        <v>36</v>
      </c>
      <c r="C42" s="9">
        <v>28</v>
      </c>
      <c r="D42" s="22" t="s">
        <v>1367</v>
      </c>
    </row>
    <row r="43" spans="1:9" ht="18" x14ac:dyDescent="0.45">
      <c r="A43" s="3" t="s">
        <v>1376</v>
      </c>
      <c r="B43" s="9">
        <v>32</v>
      </c>
      <c r="C43" s="9">
        <v>35</v>
      </c>
      <c r="D43" s="22" t="s">
        <v>1367</v>
      </c>
    </row>
    <row r="44" spans="1:9" ht="18" x14ac:dyDescent="0.45">
      <c r="A44" s="3" t="s">
        <v>1377</v>
      </c>
      <c r="B44" s="9">
        <v>24</v>
      </c>
      <c r="C44" s="9">
        <v>19</v>
      </c>
      <c r="D44" s="22" t="s">
        <v>1367</v>
      </c>
    </row>
    <row r="45" spans="1:9" ht="18" x14ac:dyDescent="0.45">
      <c r="A45" s="3" t="s">
        <v>1378</v>
      </c>
      <c r="B45" s="9">
        <v>31</v>
      </c>
      <c r="C45" s="9">
        <v>32</v>
      </c>
      <c r="D45" s="22" t="s">
        <v>1367</v>
      </c>
    </row>
    <row r="46" spans="1:9" ht="18" x14ac:dyDescent="0.45">
      <c r="A46" s="3" t="s">
        <v>1379</v>
      </c>
      <c r="B46" s="9">
        <v>2</v>
      </c>
      <c r="C46" s="9">
        <v>0</v>
      </c>
      <c r="D46" s="22" t="s">
        <v>1367</v>
      </c>
    </row>
    <row r="47" spans="1:9" ht="48" customHeight="1" x14ac:dyDescent="0.2">
      <c r="A47" s="52" t="s">
        <v>1380</v>
      </c>
      <c r="B47" s="51"/>
      <c r="C47" s="51"/>
      <c r="D47" s="51"/>
      <c r="E47" s="51"/>
      <c r="F47" s="51"/>
      <c r="G47" s="51"/>
      <c r="H47" s="51"/>
      <c r="I47" s="51"/>
    </row>
    <row r="49" spans="1:9" ht="22.05" customHeight="1" x14ac:dyDescent="0.5">
      <c r="A49" s="13" t="s">
        <v>1381</v>
      </c>
    </row>
    <row r="50" spans="1:9" ht="30" customHeight="1" x14ac:dyDescent="0.2">
      <c r="A50" s="4" t="s">
        <v>1346</v>
      </c>
      <c r="B50" s="4" t="s">
        <v>1382</v>
      </c>
      <c r="C50" s="4" t="s">
        <v>1383</v>
      </c>
      <c r="D50" s="4" t="s">
        <v>1342</v>
      </c>
      <c r="E50" s="4" t="s">
        <v>1343</v>
      </c>
      <c r="F50" s="4" t="s">
        <v>1384</v>
      </c>
      <c r="G50" s="4" t="s">
        <v>1385</v>
      </c>
      <c r="H50" s="4" t="s">
        <v>522</v>
      </c>
    </row>
    <row r="51" spans="1:9" ht="18" x14ac:dyDescent="0.45">
      <c r="A51" s="3" t="s">
        <v>1386</v>
      </c>
      <c r="B51" s="40">
        <v>1</v>
      </c>
      <c r="C51" s="9">
        <v>273</v>
      </c>
      <c r="D51" s="9">
        <v>210</v>
      </c>
      <c r="E51" s="9">
        <v>63</v>
      </c>
      <c r="F51" s="41">
        <v>1.4810000000000001</v>
      </c>
      <c r="G51" s="41">
        <v>0.44400000000000001</v>
      </c>
      <c r="H51" s="22" t="s">
        <v>1387</v>
      </c>
    </row>
    <row r="52" spans="1:9" ht="18" x14ac:dyDescent="0.45">
      <c r="A52" s="3" t="s">
        <v>1388</v>
      </c>
      <c r="B52" s="40">
        <v>2</v>
      </c>
      <c r="C52" s="9">
        <v>97</v>
      </c>
      <c r="D52" s="9">
        <v>85</v>
      </c>
      <c r="E52" s="9">
        <v>12</v>
      </c>
      <c r="F52" s="41">
        <v>0.97099999999999997</v>
      </c>
      <c r="G52" s="41">
        <v>0.13700000000000001</v>
      </c>
      <c r="H52" s="22" t="s">
        <v>1387</v>
      </c>
    </row>
    <row r="53" spans="1:9" ht="18" x14ac:dyDescent="0.45">
      <c r="A53" s="3" t="s">
        <v>1389</v>
      </c>
      <c r="B53" s="40">
        <v>3</v>
      </c>
      <c r="C53" s="9">
        <v>70</v>
      </c>
      <c r="D53" s="9">
        <v>49</v>
      </c>
      <c r="E53" s="9">
        <v>21</v>
      </c>
      <c r="F53" s="41">
        <v>0.53100000000000003</v>
      </c>
      <c r="G53" s="41">
        <v>0.22800000000000001</v>
      </c>
      <c r="H53" s="22" t="s">
        <v>1387</v>
      </c>
    </row>
    <row r="54" spans="1:9" ht="18" x14ac:dyDescent="0.45">
      <c r="A54" s="3" t="s">
        <v>1390</v>
      </c>
      <c r="B54" s="40">
        <v>4</v>
      </c>
      <c r="C54" s="9">
        <v>57</v>
      </c>
      <c r="D54" s="9">
        <v>40</v>
      </c>
      <c r="E54" s="9">
        <v>17</v>
      </c>
      <c r="F54" s="41">
        <v>0.53600000000000003</v>
      </c>
      <c r="G54" s="41">
        <v>0.22800000000000001</v>
      </c>
      <c r="H54" s="22" t="s">
        <v>1387</v>
      </c>
    </row>
    <row r="55" spans="1:9" ht="18" x14ac:dyDescent="0.45">
      <c r="A55" s="3" t="s">
        <v>1391</v>
      </c>
      <c r="B55" s="40">
        <v>5</v>
      </c>
      <c r="C55" s="9">
        <v>43</v>
      </c>
      <c r="D55" s="9">
        <v>23</v>
      </c>
      <c r="E55" s="9">
        <v>20</v>
      </c>
      <c r="F55" s="41">
        <v>0.45200000000000001</v>
      </c>
      <c r="G55" s="41">
        <v>0.39300000000000002</v>
      </c>
      <c r="H55" s="22" t="s">
        <v>1387</v>
      </c>
    </row>
    <row r="56" spans="1:9" ht="64.05" customHeight="1" x14ac:dyDescent="0.2">
      <c r="A56" s="52" t="s">
        <v>1392</v>
      </c>
      <c r="B56" s="51"/>
      <c r="C56" s="51"/>
      <c r="D56" s="51"/>
      <c r="E56" s="51"/>
      <c r="F56" s="51"/>
      <c r="G56" s="51"/>
      <c r="H56" s="51"/>
      <c r="I56" s="51"/>
    </row>
    <row r="58" spans="1:9" ht="22.05" customHeight="1" x14ac:dyDescent="0.5">
      <c r="A58" s="13" t="s">
        <v>1393</v>
      </c>
    </row>
    <row r="59" spans="1:9" ht="30" customHeight="1" x14ac:dyDescent="0.2">
      <c r="A59" s="4" t="s">
        <v>1346</v>
      </c>
      <c r="B59" s="4" t="s">
        <v>1394</v>
      </c>
      <c r="C59" s="4" t="s">
        <v>1395</v>
      </c>
      <c r="D59" s="4" t="s">
        <v>522</v>
      </c>
    </row>
    <row r="60" spans="1:9" ht="18" x14ac:dyDescent="0.45">
      <c r="A60" s="3" t="s">
        <v>1386</v>
      </c>
      <c r="B60" s="10">
        <v>23.1</v>
      </c>
      <c r="C60" s="10">
        <v>21.7</v>
      </c>
      <c r="D60" s="22" t="s">
        <v>1396</v>
      </c>
    </row>
    <row r="61" spans="1:9" ht="18" x14ac:dyDescent="0.45">
      <c r="A61" s="3" t="s">
        <v>1388</v>
      </c>
      <c r="B61" s="10">
        <v>12.4</v>
      </c>
      <c r="C61" s="10">
        <v>30.8</v>
      </c>
      <c r="D61" s="22" t="s">
        <v>1396</v>
      </c>
    </row>
    <row r="62" spans="1:9" ht="18" x14ac:dyDescent="0.45">
      <c r="A62" s="3" t="s">
        <v>1397</v>
      </c>
      <c r="B62" s="10">
        <v>36.700000000000003</v>
      </c>
      <c r="C62" s="10">
        <v>39.299999999999997</v>
      </c>
      <c r="D62" s="22" t="s">
        <v>1396</v>
      </c>
    </row>
    <row r="63" spans="1:9" ht="18" x14ac:dyDescent="0.45">
      <c r="A63" s="3" t="s">
        <v>1398</v>
      </c>
      <c r="B63" s="10">
        <v>29.9</v>
      </c>
      <c r="C63" s="10">
        <v>33.4</v>
      </c>
      <c r="D63" s="22" t="s">
        <v>1396</v>
      </c>
    </row>
    <row r="64" spans="1:9" ht="18" customHeight="1" x14ac:dyDescent="0.2">
      <c r="A64" s="52" t="s">
        <v>1399</v>
      </c>
      <c r="B64" s="51"/>
      <c r="C64" s="51"/>
      <c r="D64" s="51"/>
      <c r="E64" s="51"/>
      <c r="F64" s="51"/>
      <c r="G64" s="51"/>
      <c r="H64" s="51"/>
      <c r="I64" s="51"/>
    </row>
    <row r="66" spans="1:9" ht="22.05" customHeight="1" x14ac:dyDescent="0.5">
      <c r="A66" s="13" t="s">
        <v>1400</v>
      </c>
    </row>
    <row r="67" spans="1:9" ht="30" customHeight="1" x14ac:dyDescent="0.2">
      <c r="A67" s="4" t="s">
        <v>1346</v>
      </c>
      <c r="B67" s="4" t="s">
        <v>1342</v>
      </c>
      <c r="C67" s="4" t="s">
        <v>1343</v>
      </c>
      <c r="D67" s="4" t="s">
        <v>1344</v>
      </c>
      <c r="E67" s="4" t="s">
        <v>522</v>
      </c>
    </row>
    <row r="68" spans="1:9" ht="18" x14ac:dyDescent="0.45">
      <c r="A68" s="3" t="s">
        <v>1401</v>
      </c>
      <c r="B68" s="9">
        <v>25818</v>
      </c>
      <c r="C68" s="9">
        <v>11447</v>
      </c>
      <c r="D68" s="9">
        <v>37265</v>
      </c>
      <c r="E68" s="22" t="s">
        <v>1396</v>
      </c>
    </row>
    <row r="69" spans="1:9" ht="64.05" customHeight="1" x14ac:dyDescent="0.2">
      <c r="A69" s="52" t="s">
        <v>1402</v>
      </c>
      <c r="B69" s="51"/>
      <c r="C69" s="51"/>
      <c r="D69" s="51"/>
      <c r="E69" s="51"/>
      <c r="F69" s="51"/>
      <c r="G69" s="51"/>
      <c r="H69" s="51"/>
      <c r="I69" s="51"/>
    </row>
    <row r="71" spans="1:9" ht="22.05" customHeight="1" x14ac:dyDescent="0.5">
      <c r="A71" s="13" t="s">
        <v>1403</v>
      </c>
    </row>
    <row r="72" spans="1:9" ht="30" customHeight="1" x14ac:dyDescent="0.2">
      <c r="A72" s="4" t="s">
        <v>1346</v>
      </c>
      <c r="B72" s="4" t="s">
        <v>1342</v>
      </c>
      <c r="C72" s="4" t="s">
        <v>1343</v>
      </c>
      <c r="D72" s="4" t="s">
        <v>1344</v>
      </c>
      <c r="E72" s="4" t="s">
        <v>522</v>
      </c>
    </row>
    <row r="73" spans="1:9" ht="18" x14ac:dyDescent="0.45">
      <c r="A73" s="3" t="s">
        <v>1404</v>
      </c>
      <c r="B73" s="9">
        <v>404</v>
      </c>
      <c r="C73" s="9">
        <v>139</v>
      </c>
      <c r="D73" s="9">
        <v>543</v>
      </c>
      <c r="E73" s="22" t="s">
        <v>1363</v>
      </c>
    </row>
    <row r="74" spans="1:9" ht="18" x14ac:dyDescent="0.45">
      <c r="A74" s="3" t="s">
        <v>1405</v>
      </c>
      <c r="B74" s="9">
        <v>91</v>
      </c>
      <c r="C74" s="9">
        <v>52</v>
      </c>
      <c r="D74" s="9">
        <v>143</v>
      </c>
      <c r="E74" s="22" t="s">
        <v>1363</v>
      </c>
    </row>
    <row r="75" spans="1:9" ht="18" x14ac:dyDescent="0.45">
      <c r="A75" s="3" t="s">
        <v>1406</v>
      </c>
      <c r="B75" s="9">
        <v>0</v>
      </c>
      <c r="C75" s="9">
        <v>0</v>
      </c>
      <c r="D75" s="9">
        <v>0</v>
      </c>
      <c r="E75" s="22" t="s">
        <v>1363</v>
      </c>
    </row>
    <row r="76" spans="1:9" ht="18" x14ac:dyDescent="0.45">
      <c r="A76" s="3" t="s">
        <v>1407</v>
      </c>
      <c r="B76" s="9">
        <v>1</v>
      </c>
      <c r="C76" s="9">
        <v>0</v>
      </c>
      <c r="D76" s="9">
        <v>1</v>
      </c>
      <c r="E76" s="22" t="s">
        <v>1363</v>
      </c>
    </row>
    <row r="77" spans="1:9" ht="18" x14ac:dyDescent="0.45">
      <c r="A77" s="3" t="s">
        <v>241</v>
      </c>
      <c r="B77" s="9">
        <v>44</v>
      </c>
      <c r="C77" s="9">
        <v>24</v>
      </c>
      <c r="D77" s="9">
        <v>68</v>
      </c>
      <c r="E77" s="22" t="s">
        <v>1363</v>
      </c>
    </row>
    <row r="78" spans="1:9" ht="18" x14ac:dyDescent="0.45">
      <c r="A78" s="3" t="s">
        <v>1379</v>
      </c>
      <c r="B78" s="9">
        <v>84</v>
      </c>
      <c r="C78" s="9">
        <v>51</v>
      </c>
      <c r="D78" s="9">
        <v>135</v>
      </c>
      <c r="E78" s="22" t="s">
        <v>1363</v>
      </c>
    </row>
    <row r="79" spans="1:9" ht="79.95" customHeight="1" x14ac:dyDescent="0.2">
      <c r="A79" s="52" t="s">
        <v>1408</v>
      </c>
      <c r="B79" s="51"/>
      <c r="C79" s="51"/>
      <c r="D79" s="51"/>
      <c r="E79" s="51"/>
      <c r="F79" s="51"/>
      <c r="G79" s="51"/>
      <c r="H79" s="51"/>
      <c r="I79" s="51"/>
    </row>
    <row r="81" spans="1:9" ht="22.05" customHeight="1" x14ac:dyDescent="0.5">
      <c r="A81" s="13" t="s">
        <v>1409</v>
      </c>
    </row>
    <row r="82" spans="1:9" ht="30" customHeight="1" x14ac:dyDescent="0.2">
      <c r="A82" s="4" t="s">
        <v>1346</v>
      </c>
      <c r="B82" s="4" t="s">
        <v>1342</v>
      </c>
      <c r="C82" s="4" t="s">
        <v>1343</v>
      </c>
      <c r="D82" s="4" t="s">
        <v>522</v>
      </c>
    </row>
    <row r="83" spans="1:9" ht="18" x14ac:dyDescent="0.45">
      <c r="A83" s="3" t="s">
        <v>1410</v>
      </c>
      <c r="B83" s="9">
        <v>451</v>
      </c>
      <c r="C83" s="9">
        <v>202</v>
      </c>
      <c r="D83" s="22" t="s">
        <v>1363</v>
      </c>
    </row>
    <row r="84" spans="1:9" ht="18" x14ac:dyDescent="0.45">
      <c r="A84" s="3" t="s">
        <v>1411</v>
      </c>
      <c r="B84" s="9">
        <v>16</v>
      </c>
      <c r="C84" s="9">
        <v>8</v>
      </c>
      <c r="D84" s="22" t="s">
        <v>1363</v>
      </c>
    </row>
    <row r="85" spans="1:9" ht="18" x14ac:dyDescent="0.45">
      <c r="A85" s="3" t="s">
        <v>1412</v>
      </c>
      <c r="B85" s="9">
        <v>145</v>
      </c>
      <c r="C85" s="9">
        <v>46</v>
      </c>
      <c r="D85" s="22" t="s">
        <v>1363</v>
      </c>
    </row>
    <row r="86" spans="1:9" ht="18" x14ac:dyDescent="0.45">
      <c r="A86" s="3" t="s">
        <v>1413</v>
      </c>
      <c r="B86" s="9">
        <v>12</v>
      </c>
      <c r="C86" s="9">
        <v>10</v>
      </c>
      <c r="D86" s="22" t="s">
        <v>1363</v>
      </c>
    </row>
    <row r="87" spans="1:9" ht="18" customHeight="1" x14ac:dyDescent="0.2">
      <c r="A87" s="52" t="s">
        <v>1414</v>
      </c>
      <c r="B87" s="51"/>
      <c r="C87" s="51"/>
      <c r="D87" s="51"/>
      <c r="E87" s="51"/>
      <c r="F87" s="51"/>
      <c r="G87" s="51"/>
      <c r="H87" s="51"/>
      <c r="I87" s="51"/>
    </row>
    <row r="89" spans="1:9" ht="22.05" customHeight="1" x14ac:dyDescent="0.5">
      <c r="A89" s="13" t="s">
        <v>1415</v>
      </c>
    </row>
    <row r="90" spans="1:9" ht="30" customHeight="1" x14ac:dyDescent="0.2">
      <c r="A90" s="4" t="s">
        <v>1346</v>
      </c>
      <c r="B90" s="4" t="s">
        <v>1416</v>
      </c>
      <c r="C90" s="4" t="s">
        <v>1417</v>
      </c>
      <c r="D90" s="4" t="s">
        <v>522</v>
      </c>
    </row>
    <row r="91" spans="1:9" ht="18" x14ac:dyDescent="0.45">
      <c r="A91" s="3" t="s">
        <v>1418</v>
      </c>
      <c r="B91" s="9">
        <v>142260</v>
      </c>
      <c r="C91" s="9">
        <v>129695</v>
      </c>
      <c r="D91" s="22" t="s">
        <v>1396</v>
      </c>
    </row>
    <row r="92" spans="1:9" ht="18" x14ac:dyDescent="0.45">
      <c r="A92" s="3" t="s">
        <v>1419</v>
      </c>
      <c r="B92" s="9">
        <v>68998</v>
      </c>
      <c r="C92" s="9">
        <v>66519</v>
      </c>
      <c r="D92" s="22" t="s">
        <v>1396</v>
      </c>
    </row>
    <row r="93" spans="1:9" ht="18" x14ac:dyDescent="0.45">
      <c r="A93" s="3" t="s">
        <v>1420</v>
      </c>
      <c r="B93" s="9">
        <v>58172</v>
      </c>
      <c r="C93" s="9">
        <v>54551</v>
      </c>
      <c r="D93" s="22" t="s">
        <v>1396</v>
      </c>
    </row>
    <row r="94" spans="1:9" ht="18" x14ac:dyDescent="0.45">
      <c r="A94" s="3" t="s">
        <v>1421</v>
      </c>
      <c r="B94" s="9">
        <v>73104</v>
      </c>
      <c r="C94" s="9">
        <v>67009</v>
      </c>
      <c r="D94" s="22" t="s">
        <v>1396</v>
      </c>
    </row>
    <row r="95" spans="1:9" ht="18" x14ac:dyDescent="0.45">
      <c r="A95" s="3" t="s">
        <v>1422</v>
      </c>
      <c r="B95" s="9">
        <v>106137</v>
      </c>
      <c r="C95" s="9">
        <v>86088</v>
      </c>
      <c r="D95" s="22" t="s">
        <v>1396</v>
      </c>
    </row>
    <row r="96" spans="1:9" ht="18" x14ac:dyDescent="0.45">
      <c r="A96" s="3" t="s">
        <v>1423</v>
      </c>
      <c r="B96" s="9">
        <v>108988</v>
      </c>
      <c r="C96" s="9">
        <v>84144</v>
      </c>
      <c r="D96" s="22" t="s">
        <v>1396</v>
      </c>
    </row>
    <row r="97" spans="1:9" ht="18" x14ac:dyDescent="0.45">
      <c r="A97" s="3" t="s">
        <v>1225</v>
      </c>
      <c r="B97" s="9">
        <v>106756</v>
      </c>
      <c r="C97" s="9">
        <v>73359</v>
      </c>
      <c r="D97" s="22" t="s">
        <v>1396</v>
      </c>
    </row>
    <row r="98" spans="1:9" ht="79.95" customHeight="1" x14ac:dyDescent="0.2">
      <c r="A98" s="52" t="s">
        <v>1424</v>
      </c>
      <c r="B98" s="51"/>
      <c r="C98" s="51"/>
      <c r="D98" s="51"/>
      <c r="E98" s="51"/>
      <c r="F98" s="51"/>
      <c r="G98" s="51"/>
      <c r="H98" s="51"/>
      <c r="I98" s="51"/>
    </row>
    <row r="100" spans="1:9" ht="22.05" customHeight="1" x14ac:dyDescent="0.5">
      <c r="A100" s="13" t="s">
        <v>1425</v>
      </c>
    </row>
    <row r="101" spans="1:9" ht="30" customHeight="1" x14ac:dyDescent="0.2">
      <c r="A101" s="4" t="s">
        <v>1346</v>
      </c>
      <c r="B101" s="4" t="s">
        <v>1342</v>
      </c>
      <c r="C101" s="4" t="s">
        <v>1343</v>
      </c>
      <c r="D101" s="4" t="s">
        <v>1344</v>
      </c>
      <c r="E101" s="4" t="s">
        <v>522</v>
      </c>
    </row>
    <row r="102" spans="1:9" ht="30" customHeight="1" x14ac:dyDescent="0.45">
      <c r="A102" s="3" t="s">
        <v>1426</v>
      </c>
      <c r="B102" s="9">
        <v>173</v>
      </c>
      <c r="C102" s="9">
        <v>52</v>
      </c>
      <c r="D102" s="9">
        <v>225</v>
      </c>
      <c r="E102" s="22" t="s">
        <v>1357</v>
      </c>
    </row>
    <row r="103" spans="1:9" ht="30" customHeight="1" x14ac:dyDescent="0.45">
      <c r="A103" s="3" t="s">
        <v>1427</v>
      </c>
      <c r="B103" s="9">
        <v>165</v>
      </c>
      <c r="C103" s="9">
        <v>87</v>
      </c>
      <c r="D103" s="9">
        <v>252</v>
      </c>
      <c r="E103" s="22" t="s">
        <v>1357</v>
      </c>
    </row>
    <row r="104" spans="1:9" ht="18" x14ac:dyDescent="0.45">
      <c r="A104" s="3" t="s">
        <v>1428</v>
      </c>
      <c r="B104" s="9">
        <v>148</v>
      </c>
      <c r="C104" s="9">
        <v>52</v>
      </c>
      <c r="D104" s="9">
        <v>200</v>
      </c>
      <c r="E104" s="22" t="s">
        <v>1357</v>
      </c>
    </row>
    <row r="105" spans="1:9" ht="18" x14ac:dyDescent="0.45">
      <c r="A105" s="3" t="s">
        <v>1429</v>
      </c>
      <c r="B105" s="9">
        <v>156</v>
      </c>
      <c r="C105" s="9">
        <v>67</v>
      </c>
      <c r="D105" s="9">
        <v>223</v>
      </c>
      <c r="E105" s="22" t="s">
        <v>1357</v>
      </c>
    </row>
    <row r="106" spans="1:9" ht="31.95" customHeight="1" x14ac:dyDescent="0.2">
      <c r="A106" s="52" t="s">
        <v>1430</v>
      </c>
      <c r="B106" s="51"/>
      <c r="C106" s="51"/>
      <c r="D106" s="51"/>
      <c r="E106" s="51"/>
      <c r="F106" s="51"/>
      <c r="G106" s="51"/>
      <c r="H106" s="51"/>
      <c r="I106" s="51"/>
    </row>
    <row r="108" spans="1:9" ht="22.05" customHeight="1" x14ac:dyDescent="0.5">
      <c r="A108" s="13" t="s">
        <v>1431</v>
      </c>
    </row>
    <row r="109" spans="1:9" ht="30" customHeight="1" x14ac:dyDescent="0.2">
      <c r="A109" s="4" t="s">
        <v>1346</v>
      </c>
      <c r="B109" s="4" t="s">
        <v>1353</v>
      </c>
      <c r="C109" s="4" t="s">
        <v>1432</v>
      </c>
      <c r="D109" s="4" t="s">
        <v>522</v>
      </c>
    </row>
    <row r="110" spans="1:9" ht="18" x14ac:dyDescent="0.45">
      <c r="A110" s="3" t="s">
        <v>1433</v>
      </c>
      <c r="B110" s="9">
        <v>22771</v>
      </c>
      <c r="C110" s="9">
        <v>26434</v>
      </c>
      <c r="D110" s="22" t="s">
        <v>1357</v>
      </c>
    </row>
    <row r="111" spans="1:9" ht="18" x14ac:dyDescent="0.45">
      <c r="A111" s="3" t="s">
        <v>1434</v>
      </c>
      <c r="B111" s="9">
        <v>24037</v>
      </c>
      <c r="C111" s="9">
        <v>26850</v>
      </c>
      <c r="D111" s="22" t="s">
        <v>1357</v>
      </c>
    </row>
    <row r="112" spans="1:9" ht="18" x14ac:dyDescent="0.45">
      <c r="A112" s="3" t="s">
        <v>1435</v>
      </c>
      <c r="B112" s="9">
        <v>14760</v>
      </c>
      <c r="C112" s="9">
        <v>17488</v>
      </c>
      <c r="D112" s="22" t="s">
        <v>1357</v>
      </c>
    </row>
    <row r="113" spans="1:9" ht="18" x14ac:dyDescent="0.45">
      <c r="A113" s="3" t="s">
        <v>1436</v>
      </c>
      <c r="B113" s="9">
        <v>14934</v>
      </c>
      <c r="C113" s="9">
        <v>17948</v>
      </c>
      <c r="D113" s="22" t="s">
        <v>1357</v>
      </c>
    </row>
    <row r="114" spans="1:9" ht="48" customHeight="1" x14ac:dyDescent="0.2">
      <c r="A114" s="52" t="s">
        <v>1437</v>
      </c>
      <c r="B114" s="51"/>
      <c r="C114" s="51"/>
      <c r="D114" s="51"/>
      <c r="E114" s="51"/>
      <c r="F114" s="51"/>
      <c r="G114" s="51"/>
      <c r="H114" s="51"/>
      <c r="I114" s="51"/>
    </row>
    <row r="116" spans="1:9" ht="22.05" customHeight="1" x14ac:dyDescent="0.5">
      <c r="A116" s="13" t="s">
        <v>1438</v>
      </c>
    </row>
    <row r="117" spans="1:9" ht="31.95" customHeight="1" x14ac:dyDescent="0.2">
      <c r="A117" s="50" t="s">
        <v>1439</v>
      </c>
      <c r="B117" s="51"/>
      <c r="C117" s="51"/>
      <c r="D117" s="51"/>
      <c r="E117" s="51"/>
      <c r="F117" s="51"/>
      <c r="G117" s="51"/>
      <c r="H117" s="51"/>
      <c r="I117" s="51"/>
    </row>
    <row r="118" spans="1:9" ht="31.95" customHeight="1" x14ac:dyDescent="0.2">
      <c r="A118" s="50" t="s">
        <v>1440</v>
      </c>
      <c r="B118" s="51"/>
      <c r="C118" s="51"/>
      <c r="D118" s="51"/>
      <c r="E118" s="51"/>
      <c r="F118" s="51"/>
      <c r="G118" s="51"/>
      <c r="H118" s="51"/>
      <c r="I118" s="51"/>
    </row>
    <row r="119" spans="1:9" ht="31.95" customHeight="1" x14ac:dyDescent="0.2">
      <c r="A119" s="50" t="s">
        <v>1441</v>
      </c>
      <c r="B119" s="51"/>
      <c r="C119" s="51"/>
      <c r="D119" s="51"/>
      <c r="E119" s="51"/>
      <c r="F119" s="51"/>
      <c r="G119" s="51"/>
      <c r="H119" s="51"/>
      <c r="I119" s="51"/>
    </row>
    <row r="120" spans="1:9" ht="31.95" customHeight="1" x14ac:dyDescent="0.2">
      <c r="A120" s="50" t="s">
        <v>1442</v>
      </c>
      <c r="B120" s="51"/>
      <c r="C120" s="51"/>
      <c r="D120" s="51"/>
      <c r="E120" s="51"/>
      <c r="F120" s="51"/>
      <c r="G120" s="51"/>
      <c r="H120" s="51"/>
      <c r="I120" s="51"/>
    </row>
    <row r="121" spans="1:9" ht="48" customHeight="1" x14ac:dyDescent="0.2">
      <c r="A121" s="50" t="s">
        <v>1443</v>
      </c>
      <c r="B121" s="51"/>
      <c r="C121" s="51"/>
      <c r="D121" s="51"/>
      <c r="E121" s="51"/>
      <c r="F121" s="51"/>
      <c r="G121" s="51"/>
      <c r="H121" s="51"/>
      <c r="I121" s="51"/>
    </row>
    <row r="123" spans="1:9" ht="22.05" customHeight="1" x14ac:dyDescent="0.5">
      <c r="A123" s="13" t="s">
        <v>1444</v>
      </c>
    </row>
    <row r="124" spans="1:9" ht="31.95" customHeight="1" x14ac:dyDescent="0.2">
      <c r="A124" s="50" t="s">
        <v>1445</v>
      </c>
      <c r="B124" s="51"/>
      <c r="C124" s="51"/>
      <c r="D124" s="51"/>
      <c r="E124" s="51"/>
      <c r="F124" s="51"/>
      <c r="G124" s="51"/>
      <c r="H124" s="51"/>
      <c r="I124" s="51"/>
    </row>
    <row r="125" spans="1:9" ht="64.05" customHeight="1" x14ac:dyDescent="0.2">
      <c r="A125" s="50" t="s">
        <v>1446</v>
      </c>
      <c r="B125" s="51"/>
      <c r="C125" s="51"/>
      <c r="D125" s="51"/>
      <c r="E125" s="51"/>
      <c r="F125" s="51"/>
      <c r="G125" s="51"/>
      <c r="H125" s="51"/>
      <c r="I125" s="51"/>
    </row>
    <row r="126" spans="1:9" ht="31.95" customHeight="1" x14ac:dyDescent="0.2">
      <c r="A126" s="50" t="s">
        <v>1447</v>
      </c>
      <c r="B126" s="51"/>
      <c r="C126" s="51"/>
      <c r="D126" s="51"/>
      <c r="E126" s="51"/>
      <c r="F126" s="51"/>
      <c r="G126" s="51"/>
      <c r="H126" s="51"/>
      <c r="I126" s="51"/>
    </row>
    <row r="127" spans="1:9" ht="31.95" customHeight="1" x14ac:dyDescent="0.2">
      <c r="A127" s="50" t="s">
        <v>1448</v>
      </c>
      <c r="B127" s="51"/>
      <c r="C127" s="51"/>
      <c r="D127" s="51"/>
      <c r="E127" s="51"/>
      <c r="F127" s="51"/>
      <c r="G127" s="51"/>
      <c r="H127" s="51"/>
      <c r="I127" s="51"/>
    </row>
    <row r="129" spans="1:9" ht="22.05" customHeight="1" x14ac:dyDescent="0.5">
      <c r="A129" s="13" t="s">
        <v>1449</v>
      </c>
    </row>
    <row r="130" spans="1:9" ht="18" customHeight="1" x14ac:dyDescent="0.2">
      <c r="A130" s="50" t="s">
        <v>921</v>
      </c>
      <c r="B130" s="51"/>
      <c r="C130" s="51"/>
      <c r="D130" s="51"/>
      <c r="E130" s="51"/>
      <c r="F130" s="51"/>
      <c r="G130" s="51"/>
      <c r="H130" s="51"/>
      <c r="I130" s="51"/>
    </row>
    <row r="131" spans="1:9" ht="48" customHeight="1" x14ac:dyDescent="0.2">
      <c r="A131" s="50" t="s">
        <v>922</v>
      </c>
      <c r="B131" s="51"/>
      <c r="C131" s="51"/>
      <c r="D131" s="51"/>
      <c r="E131" s="51"/>
      <c r="F131" s="51"/>
      <c r="G131" s="51"/>
      <c r="H131" s="51"/>
      <c r="I131" s="51"/>
    </row>
    <row r="132" spans="1:9" ht="31.95" customHeight="1" x14ac:dyDescent="0.2">
      <c r="A132" s="50" t="s">
        <v>923</v>
      </c>
      <c r="B132" s="51"/>
      <c r="C132" s="51"/>
      <c r="D132" s="51"/>
      <c r="E132" s="51"/>
      <c r="F132" s="51"/>
      <c r="G132" s="51"/>
      <c r="H132" s="51"/>
      <c r="I132" s="51"/>
    </row>
    <row r="133" spans="1:9" ht="31.95" customHeight="1" x14ac:dyDescent="0.2">
      <c r="A133" s="50" t="s">
        <v>924</v>
      </c>
      <c r="B133" s="51"/>
      <c r="C133" s="51"/>
      <c r="D133" s="51"/>
      <c r="E133" s="51"/>
      <c r="F133" s="51"/>
      <c r="G133" s="51"/>
      <c r="H133" s="51"/>
      <c r="I133" s="51"/>
    </row>
    <row r="134" spans="1:9" ht="31.95" customHeight="1" x14ac:dyDescent="0.2">
      <c r="A134" s="50" t="s">
        <v>925</v>
      </c>
      <c r="B134" s="51"/>
      <c r="C134" s="51"/>
      <c r="D134" s="51"/>
      <c r="E134" s="51"/>
      <c r="F134" s="51"/>
      <c r="G134" s="51"/>
      <c r="H134" s="51"/>
      <c r="I134" s="51"/>
    </row>
    <row r="135" spans="1:9" ht="18" customHeight="1" x14ac:dyDescent="0.2">
      <c r="A135" s="50" t="s">
        <v>926</v>
      </c>
      <c r="B135" s="51"/>
      <c r="C135" s="51"/>
      <c r="D135" s="51"/>
      <c r="E135" s="51"/>
      <c r="F135" s="51"/>
      <c r="G135" s="51"/>
      <c r="H135" s="51"/>
      <c r="I135" s="51"/>
    </row>
    <row r="136" spans="1:9" ht="31.95" customHeight="1" x14ac:dyDescent="0.2">
      <c r="A136" s="50" t="s">
        <v>927</v>
      </c>
      <c r="B136" s="51"/>
      <c r="C136" s="51"/>
      <c r="D136" s="51"/>
      <c r="E136" s="51"/>
      <c r="F136" s="51"/>
      <c r="G136" s="51"/>
      <c r="H136" s="51"/>
      <c r="I136" s="51"/>
    </row>
    <row r="137" spans="1:9" ht="18" customHeight="1" x14ac:dyDescent="0.2">
      <c r="A137" s="52" t="s">
        <v>1450</v>
      </c>
      <c r="B137" s="51"/>
      <c r="C137" s="51"/>
      <c r="D137" s="51"/>
      <c r="E137" s="51"/>
      <c r="F137" s="51"/>
      <c r="G137" s="51"/>
      <c r="H137" s="51"/>
      <c r="I137" s="51"/>
    </row>
    <row r="139" spans="1:9" ht="22.05" customHeight="1" x14ac:dyDescent="0.5">
      <c r="A139" s="13" t="s">
        <v>1451</v>
      </c>
    </row>
    <row r="140" spans="1:9" ht="18" customHeight="1" x14ac:dyDescent="0.2">
      <c r="A140" s="50" t="s">
        <v>1452</v>
      </c>
      <c r="B140" s="51"/>
      <c r="C140" s="51"/>
      <c r="D140" s="51"/>
      <c r="E140" s="51"/>
      <c r="F140" s="51"/>
      <c r="G140" s="51"/>
      <c r="H140" s="51"/>
      <c r="I140" s="51"/>
    </row>
    <row r="141" spans="1:9" ht="18" customHeight="1" x14ac:dyDescent="0.2">
      <c r="A141" s="50" t="s">
        <v>1453</v>
      </c>
      <c r="B141" s="51"/>
      <c r="C141" s="51"/>
      <c r="D141" s="51"/>
      <c r="E141" s="51"/>
      <c r="F141" s="51"/>
      <c r="G141" s="51"/>
      <c r="H141" s="51"/>
      <c r="I141" s="51"/>
    </row>
    <row r="142" spans="1:9" ht="18" customHeight="1" x14ac:dyDescent="0.2">
      <c r="A142" s="50" t="s">
        <v>1454</v>
      </c>
      <c r="B142" s="51"/>
      <c r="C142" s="51"/>
      <c r="D142" s="51"/>
      <c r="E142" s="51"/>
      <c r="F142" s="51"/>
      <c r="G142" s="51"/>
      <c r="H142" s="51"/>
      <c r="I142" s="51"/>
    </row>
    <row r="143" spans="1:9" ht="18" customHeight="1" x14ac:dyDescent="0.2">
      <c r="A143" s="50" t="s">
        <v>1455</v>
      </c>
      <c r="B143" s="51"/>
      <c r="C143" s="51"/>
      <c r="D143" s="51"/>
      <c r="E143" s="51"/>
      <c r="F143" s="51"/>
      <c r="G143" s="51"/>
      <c r="H143" s="51"/>
      <c r="I143" s="51"/>
    </row>
    <row r="144" spans="1:9" ht="31.95" customHeight="1" x14ac:dyDescent="0.2">
      <c r="A144" s="50" t="s">
        <v>1456</v>
      </c>
      <c r="B144" s="51"/>
      <c r="C144" s="51"/>
      <c r="D144" s="51"/>
      <c r="E144" s="51"/>
      <c r="F144" s="51"/>
      <c r="G144" s="51"/>
      <c r="H144" s="51"/>
      <c r="I144" s="51"/>
    </row>
    <row r="145" spans="1:9" ht="18" customHeight="1" x14ac:dyDescent="0.2">
      <c r="A145" s="50" t="s">
        <v>1457</v>
      </c>
      <c r="B145" s="51"/>
      <c r="C145" s="51"/>
      <c r="D145" s="51"/>
      <c r="E145" s="51"/>
      <c r="F145" s="51"/>
      <c r="G145" s="51"/>
      <c r="H145" s="51"/>
      <c r="I145" s="51"/>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1458</v>
      </c>
    </row>
    <row r="2" spans="1:15" ht="31.95" customHeight="1" x14ac:dyDescent="0.2">
      <c r="A2" s="52" t="s">
        <v>1459</v>
      </c>
      <c r="B2" s="51"/>
      <c r="C2" s="51"/>
      <c r="D2" s="51"/>
      <c r="E2" s="51"/>
      <c r="F2" s="51"/>
      <c r="G2" s="51"/>
      <c r="H2" s="51"/>
      <c r="I2" s="51"/>
      <c r="J2" s="51"/>
      <c r="K2" s="51"/>
      <c r="L2" s="51"/>
      <c r="M2" s="51"/>
    </row>
    <row r="4" spans="1:15" ht="22.05" customHeight="1" x14ac:dyDescent="0.5">
      <c r="A4" s="13" t="s">
        <v>1460</v>
      </c>
    </row>
    <row r="5" spans="1:15" ht="30" customHeight="1" x14ac:dyDescent="0.2">
      <c r="A5" s="4" t="s">
        <v>1461</v>
      </c>
      <c r="B5" s="4" t="s">
        <v>1346</v>
      </c>
      <c r="C5" s="4" t="s">
        <v>25</v>
      </c>
      <c r="D5" s="4" t="s">
        <v>1462</v>
      </c>
      <c r="E5" s="4" t="s">
        <v>1463</v>
      </c>
      <c r="F5" s="4" t="s">
        <v>1464</v>
      </c>
      <c r="G5" s="4" t="s">
        <v>1465</v>
      </c>
      <c r="H5" s="4" t="s">
        <v>1466</v>
      </c>
      <c r="I5" s="4" t="s">
        <v>1467</v>
      </c>
      <c r="J5" s="4" t="s">
        <v>1468</v>
      </c>
      <c r="K5" s="4" t="s">
        <v>1469</v>
      </c>
      <c r="L5" s="4" t="s">
        <v>1470</v>
      </c>
      <c r="M5" s="4" t="s">
        <v>1471</v>
      </c>
      <c r="N5" s="4" t="s">
        <v>1472</v>
      </c>
      <c r="O5" s="4" t="s">
        <v>522</v>
      </c>
    </row>
    <row r="6" spans="1:15" ht="18" x14ac:dyDescent="0.45">
      <c r="A6" s="19" t="s">
        <v>1473</v>
      </c>
      <c r="B6" s="6" t="s">
        <v>1473</v>
      </c>
      <c r="C6" s="42"/>
      <c r="D6" s="9">
        <v>41000000</v>
      </c>
      <c r="E6" s="9">
        <v>35300000</v>
      </c>
      <c r="F6" s="9">
        <v>47500000</v>
      </c>
      <c r="G6" s="10">
        <v>0.7</v>
      </c>
      <c r="H6" s="9">
        <v>1200000</v>
      </c>
      <c r="I6" s="43">
        <v>-42</v>
      </c>
      <c r="J6" s="9">
        <v>570000</v>
      </c>
      <c r="K6" s="43">
        <v>-57</v>
      </c>
      <c r="L6" s="9">
        <v>88</v>
      </c>
      <c r="M6" s="9">
        <v>78</v>
      </c>
      <c r="N6" s="9">
        <v>74</v>
      </c>
      <c r="O6" s="22" t="s">
        <v>1474</v>
      </c>
    </row>
    <row r="7" spans="1:15" ht="18" x14ac:dyDescent="0.45">
      <c r="A7" s="19" t="s">
        <v>1475</v>
      </c>
      <c r="B7" s="6" t="s">
        <v>24</v>
      </c>
      <c r="C7" s="42"/>
      <c r="D7" s="9">
        <v>7100000</v>
      </c>
      <c r="E7" s="9">
        <v>6300000</v>
      </c>
      <c r="F7" s="9">
        <v>8000000</v>
      </c>
      <c r="G7" s="10">
        <v>0.2</v>
      </c>
      <c r="H7" s="9">
        <v>280000</v>
      </c>
      <c r="I7" s="43">
        <v>-21</v>
      </c>
      <c r="J7" s="9">
        <v>120000</v>
      </c>
      <c r="K7" s="43">
        <v>-59</v>
      </c>
      <c r="L7" s="9">
        <v>81</v>
      </c>
      <c r="M7" s="9">
        <v>72</v>
      </c>
      <c r="N7" s="9">
        <v>69</v>
      </c>
      <c r="O7" s="22" t="s">
        <v>1476</v>
      </c>
    </row>
    <row r="8" spans="1:15" ht="18" x14ac:dyDescent="0.45">
      <c r="A8" s="19" t="s">
        <v>1477</v>
      </c>
      <c r="B8" s="6" t="s">
        <v>24</v>
      </c>
      <c r="C8" s="42"/>
      <c r="D8" s="9">
        <v>2000000</v>
      </c>
      <c r="E8" s="9">
        <v>1800000</v>
      </c>
      <c r="F8" s="9">
        <v>2200000</v>
      </c>
      <c r="G8" s="10">
        <v>1.1000000000000001</v>
      </c>
      <c r="H8" s="9">
        <v>120000</v>
      </c>
      <c r="I8" s="43">
        <v>17</v>
      </c>
      <c r="J8" s="9">
        <v>43000</v>
      </c>
      <c r="K8" s="43">
        <v>11</v>
      </c>
      <c r="L8" s="9">
        <v>83</v>
      </c>
      <c r="M8" s="9">
        <v>56</v>
      </c>
      <c r="N8" s="9">
        <v>48</v>
      </c>
      <c r="O8" s="22" t="s">
        <v>1476</v>
      </c>
    </row>
    <row r="10" spans="1:15" ht="22.05" customHeight="1" x14ac:dyDescent="0.5">
      <c r="A10" s="13" t="s">
        <v>1478</v>
      </c>
    </row>
    <row r="11" spans="1:15" ht="30" customHeight="1" x14ac:dyDescent="0.2">
      <c r="A11" s="4" t="s">
        <v>1461</v>
      </c>
      <c r="B11" s="4" t="s">
        <v>1346</v>
      </c>
      <c r="C11" s="4" t="s">
        <v>25</v>
      </c>
      <c r="D11" s="4" t="s">
        <v>1462</v>
      </c>
      <c r="E11" s="4" t="s">
        <v>1463</v>
      </c>
      <c r="F11" s="4" t="s">
        <v>1464</v>
      </c>
      <c r="G11" s="4" t="s">
        <v>1465</v>
      </c>
      <c r="H11" s="4" t="s">
        <v>1466</v>
      </c>
      <c r="I11" s="4" t="s">
        <v>1467</v>
      </c>
      <c r="J11" s="4" t="s">
        <v>1468</v>
      </c>
      <c r="K11" s="4" t="s">
        <v>1469</v>
      </c>
      <c r="L11" s="4" t="s">
        <v>1470</v>
      </c>
      <c r="M11" s="4" t="s">
        <v>1471</v>
      </c>
      <c r="N11" s="4" t="s">
        <v>1472</v>
      </c>
      <c r="O11" s="4" t="s">
        <v>522</v>
      </c>
    </row>
    <row r="12" spans="1:15" ht="18" x14ac:dyDescent="0.45">
      <c r="A12" s="19" t="s">
        <v>47</v>
      </c>
      <c r="B12" s="6" t="s">
        <v>22</v>
      </c>
      <c r="C12" s="6" t="s">
        <v>50</v>
      </c>
      <c r="D12" s="9">
        <v>2600000</v>
      </c>
      <c r="E12" s="9">
        <v>2100000</v>
      </c>
      <c r="F12" s="9">
        <v>3100000</v>
      </c>
      <c r="G12" s="10">
        <v>0.2</v>
      </c>
      <c r="H12" s="9">
        <v>60000</v>
      </c>
      <c r="I12" s="43">
        <v>-52</v>
      </c>
      <c r="J12" s="9">
        <v>25000</v>
      </c>
      <c r="K12" s="43">
        <v>-86</v>
      </c>
      <c r="L12" s="9">
        <v>88</v>
      </c>
      <c r="M12" s="9">
        <v>77</v>
      </c>
      <c r="N12" s="9">
        <v>74</v>
      </c>
      <c r="O12" s="22" t="s">
        <v>1476</v>
      </c>
    </row>
    <row r="13" spans="1:15" ht="36" x14ac:dyDescent="0.45">
      <c r="A13" s="19" t="s">
        <v>69</v>
      </c>
      <c r="B13" s="6" t="s">
        <v>22</v>
      </c>
      <c r="C13" s="6" t="s">
        <v>60</v>
      </c>
      <c r="D13" s="9">
        <v>620000</v>
      </c>
      <c r="E13" s="9">
        <v>560000</v>
      </c>
      <c r="F13" s="9">
        <v>690000</v>
      </c>
      <c r="G13" s="10">
        <v>1.1000000000000001</v>
      </c>
      <c r="H13" s="9">
        <v>7300</v>
      </c>
      <c r="I13" s="43">
        <v>-66</v>
      </c>
      <c r="J13" s="9">
        <v>8400</v>
      </c>
      <c r="K13" s="43">
        <v>-80</v>
      </c>
      <c r="L13" s="9">
        <v>90</v>
      </c>
      <c r="M13" s="9">
        <v>82</v>
      </c>
      <c r="N13" s="9">
        <v>81</v>
      </c>
      <c r="O13" s="22" t="s">
        <v>1476</v>
      </c>
    </row>
    <row r="14" spans="1:15" ht="18" x14ac:dyDescent="0.45">
      <c r="A14" s="19" t="s">
        <v>52</v>
      </c>
      <c r="B14" s="6" t="s">
        <v>22</v>
      </c>
      <c r="C14" s="6" t="s">
        <v>50</v>
      </c>
      <c r="D14" s="9">
        <v>560000</v>
      </c>
      <c r="E14" s="9">
        <v>500000</v>
      </c>
      <c r="F14" s="9">
        <v>610000</v>
      </c>
      <c r="G14" s="10">
        <v>0.3</v>
      </c>
      <c r="H14" s="9">
        <v>21000</v>
      </c>
      <c r="I14" s="43">
        <v>-57</v>
      </c>
      <c r="J14" s="9">
        <v>18000</v>
      </c>
      <c r="K14" s="43">
        <v>29</v>
      </c>
      <c r="L14" s="9">
        <v>67</v>
      </c>
      <c r="M14" s="9">
        <v>48</v>
      </c>
      <c r="N14" s="9">
        <v>45</v>
      </c>
      <c r="O14" s="22" t="s">
        <v>1476</v>
      </c>
    </row>
    <row r="15" spans="1:15" ht="18" x14ac:dyDescent="0.45">
      <c r="A15" s="19" t="s">
        <v>80</v>
      </c>
      <c r="B15" s="6" t="s">
        <v>22</v>
      </c>
      <c r="C15" s="6" t="s">
        <v>50</v>
      </c>
      <c r="D15" s="9">
        <v>340000</v>
      </c>
      <c r="E15" s="9">
        <v>310000</v>
      </c>
      <c r="F15" s="9">
        <v>370000</v>
      </c>
      <c r="G15" s="10">
        <v>0.2</v>
      </c>
      <c r="H15" s="9">
        <v>44000</v>
      </c>
      <c r="I15" s="43">
        <v>222</v>
      </c>
      <c r="J15" s="9">
        <v>14000</v>
      </c>
      <c r="K15" s="43">
        <v>553</v>
      </c>
      <c r="L15" s="9">
        <v>25</v>
      </c>
      <c r="M15" s="9">
        <v>18</v>
      </c>
      <c r="N15" s="42" t="s">
        <v>51</v>
      </c>
      <c r="O15" s="22" t="s">
        <v>1476</v>
      </c>
    </row>
    <row r="16" spans="1:15" ht="18" x14ac:dyDescent="0.45">
      <c r="A16" s="19" t="s">
        <v>96</v>
      </c>
      <c r="B16" s="6" t="s">
        <v>22</v>
      </c>
      <c r="C16" s="6" t="s">
        <v>50</v>
      </c>
      <c r="D16" s="9">
        <v>310000</v>
      </c>
      <c r="E16" s="9">
        <v>270000</v>
      </c>
      <c r="F16" s="9">
        <v>340000</v>
      </c>
      <c r="G16" s="10">
        <v>0.9</v>
      </c>
      <c r="H16" s="9">
        <v>9500</v>
      </c>
      <c r="I16" s="43">
        <v>-43</v>
      </c>
      <c r="J16" s="9">
        <v>4400</v>
      </c>
      <c r="K16" s="43">
        <v>-63</v>
      </c>
      <c r="L16" s="9">
        <v>84</v>
      </c>
      <c r="M16" s="9">
        <v>73</v>
      </c>
      <c r="N16" s="9">
        <v>70</v>
      </c>
      <c r="O16" s="22" t="s">
        <v>1476</v>
      </c>
    </row>
    <row r="17" spans="1:15" ht="18" x14ac:dyDescent="0.45">
      <c r="A17" s="19" t="s">
        <v>91</v>
      </c>
      <c r="B17" s="6" t="s">
        <v>22</v>
      </c>
      <c r="C17" s="6" t="s">
        <v>50</v>
      </c>
      <c r="D17" s="9">
        <v>270000</v>
      </c>
      <c r="E17" s="9">
        <v>240000</v>
      </c>
      <c r="F17" s="9">
        <v>310000</v>
      </c>
      <c r="G17" s="10">
        <v>0.4</v>
      </c>
      <c r="H17" s="9">
        <v>6100</v>
      </c>
      <c r="I17" s="43">
        <v>-58</v>
      </c>
      <c r="J17" s="9">
        <v>4100</v>
      </c>
      <c r="K17" s="43">
        <v>-14</v>
      </c>
      <c r="L17" s="9">
        <v>94</v>
      </c>
      <c r="M17" s="9">
        <v>75</v>
      </c>
      <c r="N17" s="9">
        <v>72</v>
      </c>
      <c r="O17" s="22" t="s">
        <v>1476</v>
      </c>
    </row>
    <row r="18" spans="1:15" ht="18" x14ac:dyDescent="0.45">
      <c r="A18" s="19" t="s">
        <v>86</v>
      </c>
      <c r="B18" s="6" t="s">
        <v>22</v>
      </c>
      <c r="C18" s="6" t="s">
        <v>50</v>
      </c>
      <c r="D18" s="9">
        <v>250000</v>
      </c>
      <c r="E18" s="9">
        <v>210000</v>
      </c>
      <c r="F18" s="9">
        <v>290000</v>
      </c>
      <c r="G18" s="10">
        <v>0.4</v>
      </c>
      <c r="H18" s="9">
        <v>34000</v>
      </c>
      <c r="I18" s="43">
        <v>627</v>
      </c>
      <c r="J18" s="9">
        <v>2700</v>
      </c>
      <c r="K18" s="43">
        <v>713</v>
      </c>
      <c r="L18" s="9">
        <v>62</v>
      </c>
      <c r="M18" s="9">
        <v>41</v>
      </c>
      <c r="N18" s="9">
        <v>40</v>
      </c>
      <c r="O18" s="22" t="s">
        <v>1476</v>
      </c>
    </row>
    <row r="19" spans="1:15" ht="18" x14ac:dyDescent="0.45">
      <c r="A19" s="19" t="s">
        <v>94</v>
      </c>
      <c r="B19" s="6" t="s">
        <v>22</v>
      </c>
      <c r="C19" s="6" t="s">
        <v>65</v>
      </c>
      <c r="D19" s="9">
        <v>85000</v>
      </c>
      <c r="E19" s="9">
        <v>76000</v>
      </c>
      <c r="F19" s="9">
        <v>94000</v>
      </c>
      <c r="G19" s="10">
        <v>0.3</v>
      </c>
      <c r="H19" s="9">
        <v>2900</v>
      </c>
      <c r="I19" s="43">
        <v>-53</v>
      </c>
      <c r="J19" s="9">
        <v>2000</v>
      </c>
      <c r="K19" s="43">
        <v>-41</v>
      </c>
      <c r="L19" s="9">
        <v>66</v>
      </c>
      <c r="M19" s="9">
        <v>63</v>
      </c>
      <c r="N19" s="9">
        <v>55</v>
      </c>
      <c r="O19" s="22" t="s">
        <v>1476</v>
      </c>
    </row>
    <row r="20" spans="1:15" ht="18" x14ac:dyDescent="0.45">
      <c r="A20" s="19" t="s">
        <v>61</v>
      </c>
      <c r="B20" s="6" t="s">
        <v>22</v>
      </c>
      <c r="C20" s="6" t="s">
        <v>50</v>
      </c>
      <c r="D20" s="9">
        <v>76000</v>
      </c>
      <c r="E20" s="9">
        <v>64000</v>
      </c>
      <c r="F20" s="9">
        <v>87000</v>
      </c>
      <c r="G20" s="10">
        <v>0.5</v>
      </c>
      <c r="H20" s="9">
        <v>960</v>
      </c>
      <c r="I20" s="43">
        <v>-59</v>
      </c>
      <c r="J20" s="9">
        <v>1000</v>
      </c>
      <c r="K20" s="43">
        <v>-40</v>
      </c>
      <c r="L20" s="9">
        <v>95</v>
      </c>
      <c r="M20" s="9">
        <v>95</v>
      </c>
      <c r="N20" s="9">
        <v>93</v>
      </c>
      <c r="O20" s="22" t="s">
        <v>1476</v>
      </c>
    </row>
    <row r="21" spans="1:15" ht="36" x14ac:dyDescent="0.45">
      <c r="A21" s="19" t="s">
        <v>57</v>
      </c>
      <c r="B21" s="6" t="s">
        <v>22</v>
      </c>
      <c r="C21" s="6" t="s">
        <v>60</v>
      </c>
      <c r="D21" s="9">
        <v>63000</v>
      </c>
      <c r="E21" s="9">
        <v>51000</v>
      </c>
      <c r="F21" s="9">
        <v>81000</v>
      </c>
      <c r="G21" s="10">
        <v>0.2</v>
      </c>
      <c r="H21" s="42" t="s">
        <v>51</v>
      </c>
      <c r="I21" s="42" t="s">
        <v>51</v>
      </c>
      <c r="J21" s="42" t="s">
        <v>51</v>
      </c>
      <c r="K21" s="42" t="s">
        <v>51</v>
      </c>
      <c r="L21" s="9">
        <v>84</v>
      </c>
      <c r="M21" s="9">
        <v>75</v>
      </c>
      <c r="N21" s="9">
        <v>68</v>
      </c>
      <c r="O21" s="22" t="s">
        <v>1476</v>
      </c>
    </row>
    <row r="22" spans="1:15" ht="18" x14ac:dyDescent="0.45">
      <c r="A22" s="19" t="s">
        <v>74</v>
      </c>
      <c r="B22" s="6" t="s">
        <v>22</v>
      </c>
      <c r="C22" s="6" t="s">
        <v>50</v>
      </c>
      <c r="D22" s="9">
        <v>35000</v>
      </c>
      <c r="E22" s="9">
        <v>31000</v>
      </c>
      <c r="F22" s="9">
        <v>38000</v>
      </c>
      <c r="G22" s="10">
        <v>0.1</v>
      </c>
      <c r="H22" s="9">
        <v>550</v>
      </c>
      <c r="I22" s="43">
        <v>-79</v>
      </c>
      <c r="J22" s="9">
        <v>570</v>
      </c>
      <c r="K22" s="43">
        <v>-75</v>
      </c>
      <c r="L22" s="9">
        <v>92</v>
      </c>
      <c r="M22" s="9">
        <v>79</v>
      </c>
      <c r="N22" s="9">
        <v>77</v>
      </c>
      <c r="O22" s="22" t="s">
        <v>1476</v>
      </c>
    </row>
    <row r="23" spans="1:15" ht="36" x14ac:dyDescent="0.45">
      <c r="A23" s="19" t="s">
        <v>102</v>
      </c>
      <c r="B23" s="6" t="s">
        <v>22</v>
      </c>
      <c r="C23" s="6" t="s">
        <v>60</v>
      </c>
      <c r="D23" s="9">
        <v>23000</v>
      </c>
      <c r="E23" s="9">
        <v>20000</v>
      </c>
      <c r="F23" s="9">
        <v>25000</v>
      </c>
      <c r="G23" s="10">
        <v>0.5</v>
      </c>
      <c r="H23" s="9">
        <v>1300</v>
      </c>
      <c r="I23" s="43">
        <v>11</v>
      </c>
      <c r="J23" s="11" t="s">
        <v>73</v>
      </c>
      <c r="K23" s="43">
        <v>36</v>
      </c>
      <c r="L23" s="9">
        <v>75</v>
      </c>
      <c r="M23" s="9">
        <v>64</v>
      </c>
      <c r="N23" s="9">
        <v>63</v>
      </c>
      <c r="O23" s="22" t="s">
        <v>1476</v>
      </c>
    </row>
    <row r="24" spans="1:15" ht="36" x14ac:dyDescent="0.45">
      <c r="A24" s="19" t="s">
        <v>78</v>
      </c>
      <c r="B24" s="6" t="s">
        <v>22</v>
      </c>
      <c r="C24" s="6" t="s">
        <v>60</v>
      </c>
      <c r="D24" s="9">
        <v>19000</v>
      </c>
      <c r="E24" s="9">
        <v>17000</v>
      </c>
      <c r="F24" s="9">
        <v>21000</v>
      </c>
      <c r="G24" s="11" t="s">
        <v>68</v>
      </c>
      <c r="H24" s="9">
        <v>1500</v>
      </c>
      <c r="I24" s="43">
        <v>84</v>
      </c>
      <c r="J24" s="9">
        <v>570</v>
      </c>
      <c r="K24" s="43">
        <v>135</v>
      </c>
      <c r="L24" s="9">
        <v>63</v>
      </c>
      <c r="M24" s="9">
        <v>44</v>
      </c>
      <c r="N24" s="9">
        <v>40</v>
      </c>
      <c r="O24" s="22" t="s">
        <v>1476</v>
      </c>
    </row>
    <row r="25" spans="1:15" ht="18" x14ac:dyDescent="0.45">
      <c r="A25" s="19" t="s">
        <v>71</v>
      </c>
      <c r="B25" s="6" t="s">
        <v>22</v>
      </c>
      <c r="C25" s="6" t="s">
        <v>65</v>
      </c>
      <c r="D25" s="9">
        <v>16000</v>
      </c>
      <c r="E25" s="9">
        <v>14000</v>
      </c>
      <c r="F25" s="9">
        <v>19000</v>
      </c>
      <c r="G25" s="10">
        <v>0.2</v>
      </c>
      <c r="H25" s="11" t="s">
        <v>73</v>
      </c>
      <c r="I25" s="43">
        <v>-69</v>
      </c>
      <c r="J25" s="11" t="s">
        <v>73</v>
      </c>
      <c r="K25" s="43">
        <v>-58</v>
      </c>
      <c r="L25" s="9">
        <v>83</v>
      </c>
      <c r="M25" s="9">
        <v>76</v>
      </c>
      <c r="N25" s="9">
        <v>70</v>
      </c>
      <c r="O25" s="22" t="s">
        <v>1476</v>
      </c>
    </row>
    <row r="26" spans="1:15" ht="18" x14ac:dyDescent="0.45">
      <c r="A26" s="19" t="s">
        <v>63</v>
      </c>
      <c r="B26" s="6" t="s">
        <v>22</v>
      </c>
      <c r="C26" s="6" t="s">
        <v>65</v>
      </c>
      <c r="D26" s="9">
        <v>14000</v>
      </c>
      <c r="E26" s="9">
        <v>13000</v>
      </c>
      <c r="F26" s="9">
        <v>15000</v>
      </c>
      <c r="G26" s="10">
        <v>0.3</v>
      </c>
      <c r="H26" s="9">
        <v>1100</v>
      </c>
      <c r="I26" s="43">
        <v>106</v>
      </c>
      <c r="J26" s="11" t="s">
        <v>73</v>
      </c>
      <c r="K26" s="43">
        <v>10</v>
      </c>
      <c r="L26" s="9">
        <v>77</v>
      </c>
      <c r="M26" s="9">
        <v>55</v>
      </c>
      <c r="N26" s="42" t="s">
        <v>51</v>
      </c>
      <c r="O26" s="22" t="s">
        <v>1476</v>
      </c>
    </row>
    <row r="27" spans="1:15" ht="18" x14ac:dyDescent="0.45">
      <c r="A27" s="19" t="s">
        <v>82</v>
      </c>
      <c r="B27" s="6" t="s">
        <v>22</v>
      </c>
      <c r="C27" s="6" t="s">
        <v>85</v>
      </c>
      <c r="D27" s="9">
        <v>9100</v>
      </c>
      <c r="E27" s="9">
        <v>7200</v>
      </c>
      <c r="F27" s="9">
        <v>12000</v>
      </c>
      <c r="G27" s="10">
        <v>1.6</v>
      </c>
      <c r="H27" s="9">
        <v>1700</v>
      </c>
      <c r="I27" s="43">
        <v>1121</v>
      </c>
      <c r="J27" s="11" t="s">
        <v>73</v>
      </c>
      <c r="K27" s="43">
        <v>1172</v>
      </c>
      <c r="L27" s="9">
        <v>39</v>
      </c>
      <c r="M27" s="9">
        <v>22</v>
      </c>
      <c r="N27" s="42" t="s">
        <v>51</v>
      </c>
      <c r="O27" s="22" t="s">
        <v>1476</v>
      </c>
    </row>
    <row r="28" spans="1:15" ht="36" x14ac:dyDescent="0.45">
      <c r="A28" s="19" t="s">
        <v>66</v>
      </c>
      <c r="B28" s="6" t="s">
        <v>22</v>
      </c>
      <c r="C28" s="6" t="s">
        <v>60</v>
      </c>
      <c r="D28" s="9">
        <v>8700</v>
      </c>
      <c r="E28" s="9">
        <v>7800</v>
      </c>
      <c r="F28" s="9">
        <v>9600</v>
      </c>
      <c r="G28" s="11" t="s">
        <v>68</v>
      </c>
      <c r="H28" s="9">
        <v>860</v>
      </c>
      <c r="I28" s="43">
        <v>135</v>
      </c>
      <c r="J28" s="11" t="s">
        <v>111</v>
      </c>
      <c r="K28" s="43">
        <v>-47</v>
      </c>
      <c r="L28" s="9">
        <v>66</v>
      </c>
      <c r="M28" s="9">
        <v>52</v>
      </c>
      <c r="N28" s="9">
        <v>46</v>
      </c>
      <c r="O28" s="22" t="s">
        <v>1476</v>
      </c>
    </row>
    <row r="29" spans="1:15" ht="18" x14ac:dyDescent="0.45">
      <c r="A29" s="19" t="s">
        <v>108</v>
      </c>
      <c r="B29" s="6" t="s">
        <v>22</v>
      </c>
      <c r="C29" s="6" t="s">
        <v>110</v>
      </c>
      <c r="D29" s="9">
        <v>2200</v>
      </c>
      <c r="E29" s="9">
        <v>1900</v>
      </c>
      <c r="F29" s="9">
        <v>2600</v>
      </c>
      <c r="G29" s="10">
        <v>0.3</v>
      </c>
      <c r="H29" s="11" t="s">
        <v>111</v>
      </c>
      <c r="I29" s="43">
        <v>26</v>
      </c>
      <c r="J29" s="11" t="s">
        <v>90</v>
      </c>
      <c r="K29" s="43">
        <v>-30</v>
      </c>
      <c r="L29" s="9">
        <v>89</v>
      </c>
      <c r="M29" s="9">
        <v>66</v>
      </c>
      <c r="N29" s="9">
        <v>46</v>
      </c>
      <c r="O29" s="22" t="s">
        <v>1476</v>
      </c>
    </row>
    <row r="30" spans="1:15" ht="18" x14ac:dyDescent="0.45">
      <c r="A30" s="19" t="s">
        <v>88</v>
      </c>
      <c r="B30" s="6" t="s">
        <v>22</v>
      </c>
      <c r="C30" s="6" t="s">
        <v>85</v>
      </c>
      <c r="D30" s="9">
        <v>1200</v>
      </c>
      <c r="E30" s="9">
        <v>1000</v>
      </c>
      <c r="F30" s="9">
        <v>1400</v>
      </c>
      <c r="G30" s="10">
        <v>0.2</v>
      </c>
      <c r="H30" s="11" t="s">
        <v>90</v>
      </c>
      <c r="I30" s="43">
        <v>1</v>
      </c>
      <c r="J30" s="11" t="s">
        <v>90</v>
      </c>
      <c r="K30" s="43">
        <v>-49</v>
      </c>
      <c r="L30" s="9">
        <v>82</v>
      </c>
      <c r="M30" s="9">
        <v>69</v>
      </c>
      <c r="N30" s="9">
        <v>62</v>
      </c>
      <c r="O30" s="22" t="s">
        <v>1476</v>
      </c>
    </row>
    <row r="31" spans="1:15" ht="18" x14ac:dyDescent="0.45">
      <c r="A31" s="19" t="s">
        <v>99</v>
      </c>
      <c r="B31" s="6" t="s">
        <v>22</v>
      </c>
      <c r="C31" s="6" t="s">
        <v>50</v>
      </c>
      <c r="D31" s="9">
        <v>700</v>
      </c>
      <c r="E31" s="9">
        <v>620</v>
      </c>
      <c r="F31" s="9">
        <v>780</v>
      </c>
      <c r="G31" s="11" t="s">
        <v>68</v>
      </c>
      <c r="H31" s="11" t="s">
        <v>90</v>
      </c>
      <c r="I31" s="43">
        <v>5</v>
      </c>
      <c r="J31" s="11" t="s">
        <v>90</v>
      </c>
      <c r="K31" s="43">
        <v>31</v>
      </c>
      <c r="L31" s="42" t="s">
        <v>51</v>
      </c>
      <c r="M31" s="9">
        <v>42</v>
      </c>
      <c r="N31" s="42" t="s">
        <v>51</v>
      </c>
      <c r="O31" s="22" t="s">
        <v>1476</v>
      </c>
    </row>
    <row r="33" spans="1:13" ht="18" customHeight="1" x14ac:dyDescent="0.2">
      <c r="A33" s="52" t="s">
        <v>1479</v>
      </c>
      <c r="B33" s="51"/>
      <c r="C33" s="51"/>
      <c r="D33" s="51"/>
      <c r="E33" s="51"/>
      <c r="F33" s="51"/>
      <c r="G33" s="51"/>
      <c r="H33" s="51"/>
      <c r="I33" s="51"/>
      <c r="J33" s="51"/>
      <c r="K33" s="51"/>
      <c r="L33" s="51"/>
      <c r="M33" s="51"/>
    </row>
    <row r="35" spans="1:13" ht="22.05" customHeight="1" x14ac:dyDescent="0.5">
      <c r="A35" s="13" t="s">
        <v>1480</v>
      </c>
    </row>
    <row r="36" spans="1:13" ht="31.95" customHeight="1" x14ac:dyDescent="0.2">
      <c r="A36" s="50" t="s">
        <v>1481</v>
      </c>
      <c r="B36" s="51"/>
      <c r="C36" s="51"/>
      <c r="D36" s="51"/>
      <c r="E36" s="51"/>
      <c r="F36" s="51"/>
      <c r="G36" s="51"/>
      <c r="H36" s="51"/>
      <c r="I36" s="51"/>
      <c r="J36" s="51"/>
      <c r="K36" s="51"/>
      <c r="L36" s="51"/>
      <c r="M36" s="51"/>
    </row>
    <row r="37" spans="1:13" ht="18" customHeight="1" x14ac:dyDescent="0.2">
      <c r="A37" s="50" t="s">
        <v>1482</v>
      </c>
      <c r="B37" s="51"/>
      <c r="C37" s="51"/>
      <c r="D37" s="51"/>
      <c r="E37" s="51"/>
      <c r="F37" s="51"/>
      <c r="G37" s="51"/>
      <c r="H37" s="51"/>
      <c r="I37" s="51"/>
      <c r="J37" s="51"/>
      <c r="K37" s="51"/>
      <c r="L37" s="51"/>
      <c r="M37" s="51"/>
    </row>
    <row r="38" spans="1:13" ht="31.95" customHeight="1" x14ac:dyDescent="0.2">
      <c r="A38" s="50" t="s">
        <v>1483</v>
      </c>
      <c r="B38" s="51"/>
      <c r="C38" s="51"/>
      <c r="D38" s="51"/>
      <c r="E38" s="51"/>
      <c r="F38" s="51"/>
      <c r="G38" s="51"/>
      <c r="H38" s="51"/>
      <c r="I38" s="51"/>
      <c r="J38" s="51"/>
      <c r="K38" s="51"/>
      <c r="L38" s="51"/>
      <c r="M38" s="51"/>
    </row>
    <row r="39" spans="1:13" ht="18" customHeight="1" x14ac:dyDescent="0.2">
      <c r="A39" s="50" t="s">
        <v>1484</v>
      </c>
      <c r="B39" s="51"/>
      <c r="C39" s="51"/>
      <c r="D39" s="51"/>
      <c r="E39" s="51"/>
      <c r="F39" s="51"/>
      <c r="G39" s="51"/>
      <c r="H39" s="51"/>
      <c r="I39" s="51"/>
      <c r="J39" s="51"/>
      <c r="K39" s="51"/>
      <c r="L39" s="51"/>
      <c r="M39" s="51"/>
    </row>
    <row r="40" spans="1:13" ht="18" customHeight="1" x14ac:dyDescent="0.2">
      <c r="A40" s="50" t="s">
        <v>1485</v>
      </c>
      <c r="B40" s="51"/>
      <c r="C40" s="51"/>
      <c r="D40" s="51"/>
      <c r="E40" s="51"/>
      <c r="F40" s="51"/>
      <c r="G40" s="51"/>
      <c r="H40" s="51"/>
      <c r="I40" s="51"/>
      <c r="J40" s="51"/>
      <c r="K40" s="51"/>
      <c r="L40" s="51"/>
      <c r="M40" s="51"/>
    </row>
    <row r="41" spans="1:13" ht="18" customHeight="1" x14ac:dyDescent="0.2">
      <c r="A41" s="50" t="s">
        <v>1486</v>
      </c>
      <c r="B41" s="51"/>
      <c r="C41" s="51"/>
      <c r="D41" s="51"/>
      <c r="E41" s="51"/>
      <c r="F41" s="51"/>
      <c r="G41" s="51"/>
      <c r="H41" s="51"/>
      <c r="I41" s="51"/>
      <c r="J41" s="51"/>
      <c r="K41" s="51"/>
      <c r="L41" s="51"/>
      <c r="M41" s="51"/>
    </row>
    <row r="43" spans="1:13" ht="22.05" customHeight="1" x14ac:dyDescent="0.5">
      <c r="A43" s="13" t="s">
        <v>1487</v>
      </c>
    </row>
    <row r="44" spans="1:13" ht="31.95" customHeight="1" x14ac:dyDescent="0.2">
      <c r="A44" s="50" t="s">
        <v>1488</v>
      </c>
      <c r="B44" s="51"/>
      <c r="C44" s="51"/>
      <c r="D44" s="51"/>
      <c r="E44" s="51"/>
      <c r="F44" s="51"/>
      <c r="G44" s="51"/>
      <c r="H44" s="51"/>
      <c r="I44" s="51"/>
      <c r="J44" s="51"/>
      <c r="K44" s="51"/>
      <c r="L44" s="51"/>
      <c r="M44" s="51"/>
    </row>
    <row r="45" spans="1:13" ht="18" customHeight="1" x14ac:dyDescent="0.2">
      <c r="A45" s="50" t="s">
        <v>1489</v>
      </c>
      <c r="B45" s="51"/>
      <c r="C45" s="51"/>
      <c r="D45" s="51"/>
      <c r="E45" s="51"/>
      <c r="F45" s="51"/>
      <c r="G45" s="51"/>
      <c r="H45" s="51"/>
      <c r="I45" s="51"/>
      <c r="J45" s="51"/>
      <c r="K45" s="51"/>
      <c r="L45" s="51"/>
      <c r="M45" s="51"/>
    </row>
    <row r="46" spans="1:13" ht="31.95" customHeight="1" x14ac:dyDescent="0.2">
      <c r="A46" s="50" t="s">
        <v>1490</v>
      </c>
      <c r="B46" s="51"/>
      <c r="C46" s="51"/>
      <c r="D46" s="51"/>
      <c r="E46" s="51"/>
      <c r="F46" s="51"/>
      <c r="G46" s="51"/>
      <c r="H46" s="51"/>
      <c r="I46" s="51"/>
      <c r="J46" s="51"/>
      <c r="K46" s="51"/>
      <c r="L46" s="51"/>
      <c r="M46" s="51"/>
    </row>
    <row r="47" spans="1:13" ht="18" customHeight="1" x14ac:dyDescent="0.2">
      <c r="A47" s="50" t="s">
        <v>1491</v>
      </c>
      <c r="B47" s="51"/>
      <c r="C47" s="51"/>
      <c r="D47" s="51"/>
      <c r="E47" s="51"/>
      <c r="F47" s="51"/>
      <c r="G47" s="51"/>
      <c r="H47" s="51"/>
      <c r="I47" s="51"/>
      <c r="J47" s="51"/>
      <c r="K47" s="51"/>
      <c r="L47" s="51"/>
      <c r="M47" s="51"/>
    </row>
    <row r="48" spans="1:13" ht="18" customHeight="1" x14ac:dyDescent="0.2">
      <c r="A48" s="50" t="s">
        <v>1492</v>
      </c>
      <c r="B48" s="51"/>
      <c r="C48" s="51"/>
      <c r="D48" s="51"/>
      <c r="E48" s="51"/>
      <c r="F48" s="51"/>
      <c r="G48" s="51"/>
      <c r="H48" s="51"/>
      <c r="I48" s="51"/>
      <c r="J48" s="51"/>
      <c r="K48" s="51"/>
      <c r="L48" s="51"/>
      <c r="M48" s="51"/>
    </row>
    <row r="50" spans="1:13" ht="22.05" customHeight="1" x14ac:dyDescent="0.5">
      <c r="A50" s="13" t="s">
        <v>1493</v>
      </c>
    </row>
    <row r="51" spans="1:13" ht="31.95" customHeight="1" x14ac:dyDescent="0.2">
      <c r="A51" s="50" t="s">
        <v>1494</v>
      </c>
      <c r="B51" s="51"/>
      <c r="C51" s="51"/>
      <c r="D51" s="51"/>
      <c r="E51" s="51"/>
      <c r="F51" s="51"/>
      <c r="G51" s="51"/>
      <c r="H51" s="51"/>
      <c r="I51" s="51"/>
      <c r="J51" s="51"/>
      <c r="K51" s="51"/>
      <c r="L51" s="51"/>
      <c r="M51" s="51"/>
    </row>
    <row r="52" spans="1:13" ht="31.95" customHeight="1" x14ac:dyDescent="0.2">
      <c r="A52" s="50" t="s">
        <v>1495</v>
      </c>
      <c r="B52" s="51"/>
      <c r="C52" s="51"/>
      <c r="D52" s="51"/>
      <c r="E52" s="51"/>
      <c r="F52" s="51"/>
      <c r="G52" s="51"/>
      <c r="H52" s="51"/>
      <c r="I52" s="51"/>
      <c r="J52" s="51"/>
      <c r="K52" s="51"/>
      <c r="L52" s="51"/>
      <c r="M52" s="51"/>
    </row>
    <row r="53" spans="1:13" ht="18" customHeight="1" x14ac:dyDescent="0.2">
      <c r="A53" s="50" t="s">
        <v>1496</v>
      </c>
      <c r="B53" s="51"/>
      <c r="C53" s="51"/>
      <c r="D53" s="51"/>
      <c r="E53" s="51"/>
      <c r="F53" s="51"/>
      <c r="G53" s="51"/>
      <c r="H53" s="51"/>
      <c r="I53" s="51"/>
      <c r="J53" s="51"/>
      <c r="K53" s="51"/>
      <c r="L53" s="51"/>
      <c r="M53" s="51"/>
    </row>
    <row r="54" spans="1:13" ht="18" customHeight="1" x14ac:dyDescent="0.2">
      <c r="A54" s="50" t="s">
        <v>1497</v>
      </c>
      <c r="B54" s="51"/>
      <c r="C54" s="51"/>
      <c r="D54" s="51"/>
      <c r="E54" s="51"/>
      <c r="F54" s="51"/>
      <c r="G54" s="51"/>
      <c r="H54" s="51"/>
      <c r="I54" s="51"/>
      <c r="J54" s="51"/>
      <c r="K54" s="51"/>
      <c r="L54" s="51"/>
      <c r="M54" s="51"/>
    </row>
    <row r="55" spans="1:13" ht="18" customHeight="1" x14ac:dyDescent="0.2">
      <c r="A55" s="50" t="s">
        <v>1498</v>
      </c>
      <c r="B55" s="51"/>
      <c r="C55" s="51"/>
      <c r="D55" s="51"/>
      <c r="E55" s="51"/>
      <c r="F55" s="51"/>
      <c r="G55" s="51"/>
      <c r="H55" s="51"/>
      <c r="I55" s="51"/>
      <c r="J55" s="51"/>
      <c r="K55" s="51"/>
      <c r="L55" s="51"/>
      <c r="M55" s="51"/>
    </row>
    <row r="56" spans="1:13" ht="18" customHeight="1" x14ac:dyDescent="0.2">
      <c r="A56" s="50" t="s">
        <v>1499</v>
      </c>
      <c r="B56" s="51"/>
      <c r="C56" s="51"/>
      <c r="D56" s="51"/>
      <c r="E56" s="51"/>
      <c r="F56" s="51"/>
      <c r="G56" s="51"/>
      <c r="H56" s="51"/>
      <c r="I56" s="51"/>
      <c r="J56" s="51"/>
      <c r="K56" s="51"/>
      <c r="L56" s="51"/>
      <c r="M56" s="51"/>
    </row>
    <row r="57" spans="1:13" ht="18" customHeight="1" x14ac:dyDescent="0.2">
      <c r="A57" s="50" t="s">
        <v>1500</v>
      </c>
      <c r="B57" s="51"/>
      <c r="C57" s="51"/>
      <c r="D57" s="51"/>
      <c r="E57" s="51"/>
      <c r="F57" s="51"/>
      <c r="G57" s="51"/>
      <c r="H57" s="51"/>
      <c r="I57" s="51"/>
      <c r="J57" s="51"/>
      <c r="K57" s="51"/>
      <c r="L57" s="51"/>
      <c r="M57" s="51"/>
    </row>
    <row r="59" spans="1:13" ht="22.05" customHeight="1" x14ac:dyDescent="0.5">
      <c r="A59" s="13" t="s">
        <v>506</v>
      </c>
    </row>
    <row r="60" spans="1:13" ht="18" customHeight="1" x14ac:dyDescent="0.2">
      <c r="A60" s="50" t="s">
        <v>1501</v>
      </c>
      <c r="B60" s="51"/>
      <c r="C60" s="51"/>
      <c r="D60" s="51"/>
      <c r="E60" s="51"/>
      <c r="F60" s="51"/>
      <c r="G60" s="51"/>
      <c r="H60" s="51"/>
      <c r="I60" s="51"/>
      <c r="J60" s="51"/>
      <c r="K60" s="51"/>
      <c r="L60" s="51"/>
      <c r="M60" s="51"/>
    </row>
    <row r="61" spans="1:13" ht="18" customHeight="1" x14ac:dyDescent="0.2">
      <c r="A61" s="50" t="s">
        <v>1502</v>
      </c>
      <c r="B61" s="51"/>
      <c r="C61" s="51"/>
      <c r="D61" s="51"/>
      <c r="E61" s="51"/>
      <c r="F61" s="51"/>
      <c r="G61" s="51"/>
      <c r="H61" s="51"/>
      <c r="I61" s="51"/>
      <c r="J61" s="51"/>
      <c r="K61" s="51"/>
      <c r="L61" s="51"/>
      <c r="M61" s="51"/>
    </row>
    <row r="62" spans="1:13" ht="18" customHeight="1" x14ac:dyDescent="0.2">
      <c r="A62" s="50" t="s">
        <v>1503</v>
      </c>
      <c r="B62" s="51"/>
      <c r="C62" s="51"/>
      <c r="D62" s="51"/>
      <c r="E62" s="51"/>
      <c r="F62" s="51"/>
      <c r="G62" s="51"/>
      <c r="H62" s="51"/>
      <c r="I62" s="51"/>
      <c r="J62" s="51"/>
      <c r="K62" s="51"/>
      <c r="L62" s="51"/>
      <c r="M62" s="51"/>
    </row>
    <row r="63" spans="1:13" ht="18" customHeight="1" x14ac:dyDescent="0.2">
      <c r="A63" s="50" t="s">
        <v>1504</v>
      </c>
      <c r="B63" s="51"/>
      <c r="C63" s="51"/>
      <c r="D63" s="51"/>
      <c r="E63" s="51"/>
      <c r="F63" s="51"/>
      <c r="G63" s="51"/>
      <c r="H63" s="51"/>
      <c r="I63" s="51"/>
      <c r="J63" s="51"/>
      <c r="K63" s="51"/>
      <c r="L63" s="51"/>
      <c r="M63" s="51"/>
    </row>
    <row r="64" spans="1:13" ht="18" customHeight="1" x14ac:dyDescent="0.2">
      <c r="A64" s="50" t="s">
        <v>1505</v>
      </c>
      <c r="B64" s="51"/>
      <c r="C64" s="51"/>
      <c r="D64" s="51"/>
      <c r="E64" s="51"/>
      <c r="F64" s="51"/>
      <c r="G64" s="51"/>
      <c r="H64" s="51"/>
      <c r="I64" s="51"/>
      <c r="J64" s="51"/>
      <c r="K64" s="51"/>
      <c r="L64" s="51"/>
      <c r="M64" s="51"/>
    </row>
    <row r="65" spans="1:13" ht="18" customHeight="1" x14ac:dyDescent="0.2">
      <c r="A65" s="50" t="s">
        <v>1506</v>
      </c>
      <c r="B65" s="51"/>
      <c r="C65" s="51"/>
      <c r="D65" s="51"/>
      <c r="E65" s="51"/>
      <c r="F65" s="51"/>
      <c r="G65" s="51"/>
      <c r="H65" s="51"/>
      <c r="I65" s="51"/>
      <c r="J65" s="51"/>
      <c r="K65" s="51"/>
      <c r="L65" s="51"/>
      <c r="M65" s="51"/>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117"/>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2" t="s">
        <v>1507</v>
      </c>
      <c r="B2" s="51"/>
      <c r="C2" s="51"/>
      <c r="D2" s="51"/>
      <c r="E2" s="51"/>
      <c r="F2" s="51"/>
      <c r="G2" s="51"/>
      <c r="H2" s="51"/>
      <c r="I2" s="51"/>
    </row>
    <row r="4" spans="1:9" ht="22.05" customHeight="1" x14ac:dyDescent="0.5">
      <c r="A4" s="13" t="s">
        <v>1340</v>
      </c>
    </row>
    <row r="5" spans="1:9" ht="30" customHeight="1" x14ac:dyDescent="0.2">
      <c r="A5" s="4" t="s">
        <v>1341</v>
      </c>
      <c r="B5" s="4" t="s">
        <v>1344</v>
      </c>
      <c r="C5" s="4" t="s">
        <v>1361</v>
      </c>
      <c r="D5" s="4" t="s">
        <v>1362</v>
      </c>
      <c r="E5" s="4" t="s">
        <v>1345</v>
      </c>
      <c r="F5" s="4" t="s">
        <v>1346</v>
      </c>
      <c r="G5" s="4" t="s">
        <v>522</v>
      </c>
    </row>
    <row r="6" spans="1:9" ht="18" x14ac:dyDescent="0.45">
      <c r="A6" s="37">
        <v>2015</v>
      </c>
      <c r="B6" s="9">
        <v>2690</v>
      </c>
      <c r="C6" s="9">
        <v>1930</v>
      </c>
      <c r="D6" s="9">
        <v>760</v>
      </c>
      <c r="E6" s="38" t="s">
        <v>51</v>
      </c>
      <c r="F6" s="39" t="s">
        <v>1347</v>
      </c>
      <c r="G6" s="22" t="s">
        <v>1508</v>
      </c>
    </row>
    <row r="7" spans="1:9" ht="18" x14ac:dyDescent="0.45">
      <c r="A7" s="37">
        <v>2016</v>
      </c>
      <c r="B7" s="9">
        <v>4575</v>
      </c>
      <c r="C7" s="9">
        <v>3189</v>
      </c>
      <c r="D7" s="9">
        <v>1386</v>
      </c>
      <c r="E7" s="38">
        <f t="shared" ref="E7:E16" si="0">IF(B6="","",B7/B6-1)</f>
        <v>0.7007434944237918</v>
      </c>
      <c r="F7" s="39" t="s">
        <v>1347</v>
      </c>
      <c r="G7" s="22" t="s">
        <v>1508</v>
      </c>
    </row>
    <row r="8" spans="1:9" ht="18" x14ac:dyDescent="0.45">
      <c r="A8" s="37">
        <v>2017</v>
      </c>
      <c r="B8" s="9">
        <v>5826</v>
      </c>
      <c r="C8" s="9">
        <v>3931</v>
      </c>
      <c r="D8" s="9">
        <v>1895</v>
      </c>
      <c r="E8" s="38">
        <f t="shared" si="0"/>
        <v>0.27344262295081978</v>
      </c>
      <c r="F8" s="39" t="s">
        <v>1347</v>
      </c>
      <c r="G8" s="22" t="s">
        <v>1508</v>
      </c>
    </row>
    <row r="9" spans="1:9" ht="18" x14ac:dyDescent="0.45">
      <c r="A9" s="37">
        <v>2018</v>
      </c>
      <c r="B9" s="9">
        <v>7007</v>
      </c>
      <c r="C9" s="9">
        <v>4591</v>
      </c>
      <c r="D9" s="9">
        <v>2416</v>
      </c>
      <c r="E9" s="38">
        <f t="shared" si="0"/>
        <v>0.20271198077583241</v>
      </c>
      <c r="F9" s="39" t="s">
        <v>1347</v>
      </c>
      <c r="G9" s="22" t="s">
        <v>1508</v>
      </c>
    </row>
    <row r="10" spans="1:9" ht="18" x14ac:dyDescent="0.45">
      <c r="A10" s="37">
        <v>2019</v>
      </c>
      <c r="B10" s="9">
        <v>6642</v>
      </c>
      <c r="C10" s="9">
        <v>4387</v>
      </c>
      <c r="D10" s="9">
        <v>2255</v>
      </c>
      <c r="E10" s="38">
        <f t="shared" si="0"/>
        <v>-5.2090766376480691E-2</v>
      </c>
      <c r="F10" s="39" t="s">
        <v>1347</v>
      </c>
      <c r="G10" s="22" t="s">
        <v>1508</v>
      </c>
    </row>
    <row r="11" spans="1:9" ht="18" x14ac:dyDescent="0.45">
      <c r="A11" s="37">
        <v>2020</v>
      </c>
      <c r="B11" s="9">
        <v>5867</v>
      </c>
      <c r="C11" s="9">
        <v>3902</v>
      </c>
      <c r="D11" s="9">
        <v>1965</v>
      </c>
      <c r="E11" s="38">
        <f t="shared" si="0"/>
        <v>-0.1166817223727793</v>
      </c>
      <c r="F11" s="39" t="s">
        <v>1347</v>
      </c>
      <c r="G11" s="22" t="s">
        <v>1508</v>
      </c>
    </row>
    <row r="12" spans="1:9" ht="18" x14ac:dyDescent="0.45">
      <c r="A12" s="37">
        <v>2021</v>
      </c>
      <c r="B12" s="9">
        <v>7978</v>
      </c>
      <c r="C12" s="9">
        <v>5261</v>
      </c>
      <c r="D12" s="9">
        <v>2717</v>
      </c>
      <c r="E12" s="38">
        <f t="shared" si="0"/>
        <v>0.35980910175558201</v>
      </c>
      <c r="F12" s="39" t="s">
        <v>1347</v>
      </c>
      <c r="G12" s="22" t="s">
        <v>1508</v>
      </c>
    </row>
    <row r="13" spans="1:9" ht="18" x14ac:dyDescent="0.45">
      <c r="A13" s="37">
        <v>2022</v>
      </c>
      <c r="B13" s="9">
        <v>13221</v>
      </c>
      <c r="C13" s="9">
        <v>8701</v>
      </c>
      <c r="D13" s="9">
        <v>4519</v>
      </c>
      <c r="E13" s="38">
        <f t="shared" si="0"/>
        <v>0.65718225119077456</v>
      </c>
      <c r="F13" s="39" t="s">
        <v>1347</v>
      </c>
      <c r="G13" s="22" t="s">
        <v>1508</v>
      </c>
    </row>
    <row r="14" spans="1:9" ht="18" x14ac:dyDescent="0.45">
      <c r="A14" s="37">
        <v>2023</v>
      </c>
      <c r="B14" s="9">
        <v>15055</v>
      </c>
      <c r="C14" s="9">
        <v>9710</v>
      </c>
      <c r="D14" s="9">
        <v>5345</v>
      </c>
      <c r="E14" s="38">
        <f t="shared" si="0"/>
        <v>0.13871870509038642</v>
      </c>
      <c r="F14" s="39" t="s">
        <v>1347</v>
      </c>
      <c r="G14" s="22" t="s">
        <v>1508</v>
      </c>
    </row>
    <row r="15" spans="1:9" ht="18" x14ac:dyDescent="0.45">
      <c r="A15" s="37">
        <v>2024</v>
      </c>
      <c r="B15" s="9">
        <v>14829</v>
      </c>
      <c r="C15" s="9">
        <v>9504</v>
      </c>
      <c r="D15" s="9">
        <v>5324</v>
      </c>
      <c r="E15" s="38">
        <f t="shared" si="0"/>
        <v>-1.501162404516776E-2</v>
      </c>
      <c r="F15" s="39" t="s">
        <v>1347</v>
      </c>
      <c r="G15" s="22" t="s">
        <v>1508</v>
      </c>
    </row>
    <row r="16" spans="1:9" ht="18" x14ac:dyDescent="0.45">
      <c r="A16" s="44">
        <v>2025</v>
      </c>
      <c r="B16" s="28">
        <v>13530</v>
      </c>
      <c r="C16" s="28">
        <v>8565</v>
      </c>
      <c r="D16" s="28">
        <v>4963</v>
      </c>
      <c r="E16" s="45">
        <f t="shared" si="0"/>
        <v>-8.7598624317216212E-2</v>
      </c>
      <c r="F16" s="46" t="s">
        <v>1356</v>
      </c>
      <c r="G16" s="47" t="s">
        <v>1509</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1344</v>
      </c>
      <c r="B21" s="3" t="s">
        <v>1510</v>
      </c>
      <c r="C21" s="9">
        <v>8942</v>
      </c>
      <c r="D21" s="9">
        <v>10985</v>
      </c>
      <c r="E21" s="25">
        <f>C21/D21-1</f>
        <v>-0.18598088302230309</v>
      </c>
      <c r="F21" s="39" t="s">
        <v>1356</v>
      </c>
      <c r="G21" s="22" t="s">
        <v>1511</v>
      </c>
    </row>
    <row r="22" spans="1:9" ht="18" customHeight="1" x14ac:dyDescent="0.2">
      <c r="A22" s="52" t="s">
        <v>1512</v>
      </c>
      <c r="B22" s="51"/>
      <c r="C22" s="51"/>
      <c r="D22" s="51"/>
      <c r="E22" s="51"/>
      <c r="F22" s="51"/>
      <c r="G22" s="51"/>
      <c r="H22" s="51"/>
      <c r="I22" s="51"/>
    </row>
    <row r="24" spans="1:9" ht="22.05" customHeight="1" x14ac:dyDescent="0.5">
      <c r="A24" s="13" t="s">
        <v>1513</v>
      </c>
    </row>
    <row r="25" spans="1:9" ht="30" customHeight="1" x14ac:dyDescent="0.2">
      <c r="A25" s="4" t="s">
        <v>1346</v>
      </c>
      <c r="B25" s="4" t="s">
        <v>1361</v>
      </c>
      <c r="C25" s="4" t="s">
        <v>1362</v>
      </c>
      <c r="D25" s="4" t="s">
        <v>522</v>
      </c>
    </row>
    <row r="26" spans="1:9" ht="18" x14ac:dyDescent="0.45">
      <c r="A26" s="3" t="s">
        <v>13</v>
      </c>
      <c r="B26" s="9">
        <v>9504</v>
      </c>
      <c r="C26" s="9">
        <v>5324</v>
      </c>
      <c r="D26" s="22" t="s">
        <v>1514</v>
      </c>
    </row>
    <row r="28" spans="1:9" ht="22.05" customHeight="1" x14ac:dyDescent="0.5">
      <c r="A28" s="13" t="s">
        <v>1515</v>
      </c>
    </row>
    <row r="29" spans="1:9" ht="30" customHeight="1" x14ac:dyDescent="0.2">
      <c r="A29" s="4" t="s">
        <v>1346</v>
      </c>
      <c r="B29" s="4" t="s">
        <v>1361</v>
      </c>
      <c r="C29" s="4" t="s">
        <v>1362</v>
      </c>
      <c r="D29" s="4" t="s">
        <v>1344</v>
      </c>
      <c r="E29" s="4" t="s">
        <v>522</v>
      </c>
    </row>
    <row r="30" spans="1:9" ht="18" x14ac:dyDescent="0.45">
      <c r="A30" s="3" t="s">
        <v>1516</v>
      </c>
      <c r="B30" s="9">
        <v>12</v>
      </c>
      <c r="C30" s="9">
        <v>18</v>
      </c>
      <c r="D30" s="9">
        <v>30</v>
      </c>
      <c r="E30" s="22" t="s">
        <v>1514</v>
      </c>
    </row>
    <row r="31" spans="1:9" ht="18" x14ac:dyDescent="0.45">
      <c r="A31" s="3" t="s">
        <v>1517</v>
      </c>
      <c r="B31" s="9">
        <v>0</v>
      </c>
      <c r="C31" s="9">
        <v>0</v>
      </c>
      <c r="D31" s="9">
        <v>0</v>
      </c>
      <c r="E31" s="22" t="s">
        <v>1514</v>
      </c>
    </row>
    <row r="32" spans="1:9" ht="18" x14ac:dyDescent="0.45">
      <c r="A32" s="3" t="s">
        <v>1518</v>
      </c>
      <c r="B32" s="9">
        <v>0</v>
      </c>
      <c r="C32" s="9">
        <v>0</v>
      </c>
      <c r="D32" s="9">
        <v>0</v>
      </c>
      <c r="E32" s="22" t="s">
        <v>1514</v>
      </c>
    </row>
    <row r="33" spans="1:5" ht="18" x14ac:dyDescent="0.45">
      <c r="A33" s="3" t="s">
        <v>1368</v>
      </c>
      <c r="B33" s="9">
        <v>0</v>
      </c>
      <c r="C33" s="9">
        <v>7</v>
      </c>
      <c r="D33" s="9">
        <v>7</v>
      </c>
      <c r="E33" s="22" t="s">
        <v>1514</v>
      </c>
    </row>
    <row r="34" spans="1:5" ht="18" x14ac:dyDescent="0.45">
      <c r="A34" s="3" t="s">
        <v>1369</v>
      </c>
      <c r="B34" s="9">
        <v>175</v>
      </c>
      <c r="C34" s="9">
        <v>452</v>
      </c>
      <c r="D34" s="9">
        <v>627</v>
      </c>
      <c r="E34" s="22" t="s">
        <v>1514</v>
      </c>
    </row>
    <row r="35" spans="1:5" ht="18" x14ac:dyDescent="0.45">
      <c r="A35" s="3" t="s">
        <v>1370</v>
      </c>
      <c r="B35" s="9">
        <v>954</v>
      </c>
      <c r="C35" s="9">
        <v>1951</v>
      </c>
      <c r="D35" s="9">
        <v>2905</v>
      </c>
      <c r="E35" s="22" t="s">
        <v>1514</v>
      </c>
    </row>
    <row r="36" spans="1:5" ht="18" x14ac:dyDescent="0.45">
      <c r="A36" s="3" t="s">
        <v>1371</v>
      </c>
      <c r="B36" s="9">
        <v>1176</v>
      </c>
      <c r="C36" s="9">
        <v>1096</v>
      </c>
      <c r="D36" s="9">
        <v>2272</v>
      </c>
      <c r="E36" s="22" t="s">
        <v>1514</v>
      </c>
    </row>
    <row r="37" spans="1:5" ht="18" x14ac:dyDescent="0.45">
      <c r="A37" s="3" t="s">
        <v>1372</v>
      </c>
      <c r="B37" s="9">
        <v>1053</v>
      </c>
      <c r="C37" s="9">
        <v>466</v>
      </c>
      <c r="D37" s="9">
        <v>1519</v>
      </c>
      <c r="E37" s="22" t="s">
        <v>1514</v>
      </c>
    </row>
    <row r="38" spans="1:5" ht="18" x14ac:dyDescent="0.45">
      <c r="A38" s="3" t="s">
        <v>1373</v>
      </c>
      <c r="B38" s="9">
        <v>1089</v>
      </c>
      <c r="C38" s="9">
        <v>317</v>
      </c>
      <c r="D38" s="9">
        <v>1406</v>
      </c>
      <c r="E38" s="22" t="s">
        <v>1514</v>
      </c>
    </row>
    <row r="39" spans="1:5" ht="18" x14ac:dyDescent="0.45">
      <c r="A39" s="3" t="s">
        <v>1374</v>
      </c>
      <c r="B39" s="9">
        <v>1139</v>
      </c>
      <c r="C39" s="9">
        <v>270</v>
      </c>
      <c r="D39" s="9">
        <v>1409</v>
      </c>
      <c r="E39" s="22" t="s">
        <v>1514</v>
      </c>
    </row>
    <row r="40" spans="1:5" ht="18" x14ac:dyDescent="0.45">
      <c r="A40" s="3" t="s">
        <v>1375</v>
      </c>
      <c r="B40" s="9">
        <v>1128</v>
      </c>
      <c r="C40" s="9">
        <v>255</v>
      </c>
      <c r="D40" s="9">
        <v>1383</v>
      </c>
      <c r="E40" s="22" t="s">
        <v>1514</v>
      </c>
    </row>
    <row r="41" spans="1:5" ht="18" x14ac:dyDescent="0.45">
      <c r="A41" s="3" t="s">
        <v>1376</v>
      </c>
      <c r="B41" s="9">
        <v>998</v>
      </c>
      <c r="C41" s="9">
        <v>195</v>
      </c>
      <c r="D41" s="9">
        <v>1193</v>
      </c>
      <c r="E41" s="22" t="s">
        <v>1514</v>
      </c>
    </row>
    <row r="42" spans="1:5" ht="18" x14ac:dyDescent="0.45">
      <c r="A42" s="3" t="s">
        <v>1377</v>
      </c>
      <c r="B42" s="9">
        <v>738</v>
      </c>
      <c r="C42" s="9">
        <v>101</v>
      </c>
      <c r="D42" s="9">
        <v>839</v>
      </c>
      <c r="E42" s="22" t="s">
        <v>1514</v>
      </c>
    </row>
    <row r="43" spans="1:5" ht="18" x14ac:dyDescent="0.45">
      <c r="A43" s="3" t="s">
        <v>1519</v>
      </c>
      <c r="B43" s="9">
        <v>441</v>
      </c>
      <c r="C43" s="9">
        <v>49</v>
      </c>
      <c r="D43" s="9">
        <v>491</v>
      </c>
      <c r="E43" s="22" t="s">
        <v>1514</v>
      </c>
    </row>
    <row r="44" spans="1:5" ht="18" x14ac:dyDescent="0.45">
      <c r="A44" s="3" t="s">
        <v>1520</v>
      </c>
      <c r="B44" s="9">
        <v>274</v>
      </c>
      <c r="C44" s="9">
        <v>29</v>
      </c>
      <c r="D44" s="9">
        <v>303</v>
      </c>
      <c r="E44" s="22" t="s">
        <v>1514</v>
      </c>
    </row>
    <row r="45" spans="1:5" ht="18" x14ac:dyDescent="0.45">
      <c r="A45" s="3" t="s">
        <v>1521</v>
      </c>
      <c r="B45" s="9">
        <v>327</v>
      </c>
      <c r="C45" s="9">
        <v>118</v>
      </c>
      <c r="D45" s="9">
        <v>445</v>
      </c>
      <c r="E45" s="22" t="s">
        <v>1514</v>
      </c>
    </row>
    <row r="47" spans="1:5" ht="22.05" customHeight="1" x14ac:dyDescent="0.5">
      <c r="A47" s="13" t="s">
        <v>1522</v>
      </c>
    </row>
    <row r="48" spans="1:5" ht="30" customHeight="1" x14ac:dyDescent="0.2">
      <c r="A48" s="4" t="s">
        <v>1346</v>
      </c>
      <c r="B48" s="4" t="s">
        <v>1382</v>
      </c>
      <c r="C48" s="4" t="s">
        <v>1523</v>
      </c>
      <c r="D48" s="4" t="s">
        <v>1524</v>
      </c>
      <c r="E48" s="4" t="s">
        <v>522</v>
      </c>
    </row>
    <row r="49" spans="1:5" ht="18" x14ac:dyDescent="0.45">
      <c r="A49" s="3" t="s">
        <v>1386</v>
      </c>
      <c r="B49" s="40">
        <v>1</v>
      </c>
      <c r="C49" s="9">
        <v>3743</v>
      </c>
      <c r="D49" s="10">
        <v>27.8</v>
      </c>
      <c r="E49" s="22" t="s">
        <v>1514</v>
      </c>
    </row>
    <row r="50" spans="1:5" ht="18" x14ac:dyDescent="0.45">
      <c r="A50" s="3" t="s">
        <v>1388</v>
      </c>
      <c r="B50" s="40">
        <v>2</v>
      </c>
      <c r="C50" s="9">
        <v>1951</v>
      </c>
      <c r="D50" s="10">
        <v>23.1</v>
      </c>
      <c r="E50" s="22" t="s">
        <v>1514</v>
      </c>
    </row>
    <row r="51" spans="1:5" ht="18" x14ac:dyDescent="0.45">
      <c r="A51" s="3" t="s">
        <v>1391</v>
      </c>
      <c r="B51" s="40">
        <v>3</v>
      </c>
      <c r="C51" s="9">
        <v>880</v>
      </c>
      <c r="D51" s="42" t="s">
        <v>1525</v>
      </c>
      <c r="E51" s="22" t="s">
        <v>1514</v>
      </c>
    </row>
    <row r="52" spans="1:5" ht="18" x14ac:dyDescent="0.45">
      <c r="A52" s="3" t="s">
        <v>1390</v>
      </c>
      <c r="B52" s="40">
        <v>4</v>
      </c>
      <c r="C52" s="9">
        <v>850</v>
      </c>
      <c r="D52" s="42" t="s">
        <v>1525</v>
      </c>
      <c r="E52" s="22" t="s">
        <v>1514</v>
      </c>
    </row>
    <row r="53" spans="1:5" ht="18" x14ac:dyDescent="0.45">
      <c r="A53" s="3" t="s">
        <v>1389</v>
      </c>
      <c r="B53" s="40">
        <v>5</v>
      </c>
      <c r="C53" s="9">
        <v>800</v>
      </c>
      <c r="D53" s="42" t="s">
        <v>1525</v>
      </c>
      <c r="E53" s="22" t="s">
        <v>1514</v>
      </c>
    </row>
    <row r="55" spans="1:5" ht="22.05" customHeight="1" x14ac:dyDescent="0.5">
      <c r="A55" s="13" t="s">
        <v>1526</v>
      </c>
    </row>
    <row r="56" spans="1:5" ht="30" customHeight="1" x14ac:dyDescent="0.2">
      <c r="A56" s="4" t="s">
        <v>1346</v>
      </c>
      <c r="B56" s="4" t="s">
        <v>1361</v>
      </c>
      <c r="C56" s="4" t="s">
        <v>1362</v>
      </c>
      <c r="D56" s="4" t="s">
        <v>1344</v>
      </c>
      <c r="E56" s="4" t="s">
        <v>522</v>
      </c>
    </row>
    <row r="57" spans="1:5" ht="18" x14ac:dyDescent="0.45">
      <c r="A57" s="3" t="s">
        <v>1527</v>
      </c>
      <c r="B57" s="9">
        <v>5135</v>
      </c>
      <c r="C57" s="9">
        <v>1240</v>
      </c>
      <c r="D57" s="9">
        <v>6375</v>
      </c>
      <c r="E57" s="22" t="s">
        <v>1528</v>
      </c>
    </row>
    <row r="58" spans="1:5" ht="18" x14ac:dyDescent="0.45">
      <c r="A58" s="3" t="s">
        <v>1529</v>
      </c>
      <c r="B58" s="9">
        <v>2477</v>
      </c>
      <c r="C58" s="9">
        <v>2118</v>
      </c>
      <c r="D58" s="9">
        <v>4596</v>
      </c>
      <c r="E58" s="22" t="s">
        <v>1528</v>
      </c>
    </row>
    <row r="59" spans="1:5" ht="18" x14ac:dyDescent="0.45">
      <c r="A59" s="3" t="s">
        <v>1530</v>
      </c>
      <c r="B59" s="9">
        <v>156</v>
      </c>
      <c r="C59" s="9">
        <v>45</v>
      </c>
      <c r="D59" s="9">
        <v>201</v>
      </c>
      <c r="E59" s="22" t="s">
        <v>1528</v>
      </c>
    </row>
    <row r="60" spans="1:5" ht="18" x14ac:dyDescent="0.45">
      <c r="A60" s="3" t="s">
        <v>1531</v>
      </c>
      <c r="B60" s="9">
        <v>1724</v>
      </c>
      <c r="C60" s="9">
        <v>1903</v>
      </c>
      <c r="D60" s="9">
        <v>3627</v>
      </c>
      <c r="E60" s="22" t="s">
        <v>1528</v>
      </c>
    </row>
    <row r="61" spans="1:5" ht="18" x14ac:dyDescent="0.45">
      <c r="A61" s="3" t="s">
        <v>1532</v>
      </c>
      <c r="B61" s="9">
        <v>12</v>
      </c>
      <c r="C61" s="9">
        <v>18</v>
      </c>
      <c r="D61" s="9">
        <v>30</v>
      </c>
      <c r="E61" s="22" t="s">
        <v>1528</v>
      </c>
    </row>
    <row r="63" spans="1:5" ht="22.05" customHeight="1" x14ac:dyDescent="0.5">
      <c r="A63" s="13" t="s">
        <v>1533</v>
      </c>
    </row>
    <row r="64" spans="1:5" ht="30" customHeight="1" x14ac:dyDescent="0.2">
      <c r="A64" s="4" t="s">
        <v>1346</v>
      </c>
      <c r="B64" s="4" t="s">
        <v>1344</v>
      </c>
      <c r="C64" s="4" t="s">
        <v>522</v>
      </c>
    </row>
    <row r="65" spans="1:5" ht="18" x14ac:dyDescent="0.45">
      <c r="A65" s="3" t="s">
        <v>1534</v>
      </c>
      <c r="B65" s="9">
        <v>14</v>
      </c>
      <c r="C65" s="22" t="s">
        <v>1535</v>
      </c>
    </row>
    <row r="66" spans="1:5" ht="18" x14ac:dyDescent="0.45">
      <c r="A66" s="3" t="s">
        <v>1536</v>
      </c>
      <c r="B66" s="9">
        <v>15</v>
      </c>
      <c r="C66" s="22" t="s">
        <v>1535</v>
      </c>
    </row>
    <row r="67" spans="1:5" ht="18" x14ac:dyDescent="0.45">
      <c r="A67" s="3" t="s">
        <v>1537</v>
      </c>
      <c r="B67" s="9">
        <v>9</v>
      </c>
      <c r="C67" s="22" t="s">
        <v>1535</v>
      </c>
    </row>
    <row r="68" spans="1:5" ht="18" x14ac:dyDescent="0.45">
      <c r="A68" s="3" t="s">
        <v>1538</v>
      </c>
      <c r="B68" s="9">
        <v>17</v>
      </c>
      <c r="C68" s="22" t="s">
        <v>1535</v>
      </c>
    </row>
    <row r="69" spans="1:5" ht="18" x14ac:dyDescent="0.45">
      <c r="A69" s="3" t="s">
        <v>1418</v>
      </c>
      <c r="B69" s="9">
        <v>23</v>
      </c>
      <c r="C69" s="22" t="s">
        <v>1535</v>
      </c>
    </row>
    <row r="70" spans="1:5" ht="18" x14ac:dyDescent="0.45">
      <c r="A70" s="3" t="s">
        <v>1419</v>
      </c>
      <c r="B70" s="9">
        <v>19</v>
      </c>
      <c r="C70" s="22" t="s">
        <v>1535</v>
      </c>
    </row>
    <row r="71" spans="1:5" ht="18" x14ac:dyDescent="0.45">
      <c r="A71" s="3" t="s">
        <v>1420</v>
      </c>
      <c r="B71" s="9">
        <v>20</v>
      </c>
      <c r="C71" s="22" t="s">
        <v>1535</v>
      </c>
    </row>
    <row r="72" spans="1:5" ht="18" x14ac:dyDescent="0.45">
      <c r="A72" s="3" t="s">
        <v>1421</v>
      </c>
      <c r="B72" s="9">
        <v>20</v>
      </c>
      <c r="C72" s="22" t="s">
        <v>1535</v>
      </c>
    </row>
    <row r="73" spans="1:5" ht="18" x14ac:dyDescent="0.45">
      <c r="A73" s="3" t="s">
        <v>1422</v>
      </c>
      <c r="B73" s="9">
        <v>37</v>
      </c>
      <c r="C73" s="22" t="s">
        <v>1535</v>
      </c>
    </row>
    <row r="74" spans="1:5" ht="18" x14ac:dyDescent="0.45">
      <c r="A74" s="3" t="s">
        <v>1423</v>
      </c>
      <c r="B74" s="9">
        <v>30</v>
      </c>
      <c r="C74" s="22" t="s">
        <v>1535</v>
      </c>
    </row>
    <row r="76" spans="1:5" ht="22.05" customHeight="1" x14ac:dyDescent="0.5">
      <c r="A76" s="13" t="s">
        <v>1539</v>
      </c>
    </row>
    <row r="77" spans="1:5" ht="30" customHeight="1" x14ac:dyDescent="0.2">
      <c r="A77" s="4" t="s">
        <v>1346</v>
      </c>
      <c r="B77" s="4" t="s">
        <v>1361</v>
      </c>
      <c r="C77" s="4" t="s">
        <v>1362</v>
      </c>
      <c r="D77" s="4" t="s">
        <v>1344</v>
      </c>
      <c r="E77" s="4" t="s">
        <v>522</v>
      </c>
    </row>
    <row r="78" spans="1:5" ht="18" x14ac:dyDescent="0.45">
      <c r="A78" s="3" t="s">
        <v>1540</v>
      </c>
      <c r="B78" s="9">
        <v>6332</v>
      </c>
      <c r="C78" s="9">
        <v>4329</v>
      </c>
      <c r="D78" s="9">
        <v>10661</v>
      </c>
      <c r="E78" s="22" t="s">
        <v>1528</v>
      </c>
    </row>
    <row r="79" spans="1:5" ht="18" x14ac:dyDescent="0.45">
      <c r="A79" s="3" t="s">
        <v>1541</v>
      </c>
      <c r="B79" s="9">
        <v>48</v>
      </c>
      <c r="C79" s="9">
        <v>4</v>
      </c>
      <c r="D79" s="9">
        <v>52</v>
      </c>
      <c r="E79" s="22" t="s">
        <v>1528</v>
      </c>
    </row>
    <row r="80" spans="1:5" ht="18" x14ac:dyDescent="0.45">
      <c r="A80" s="3" t="s">
        <v>1542</v>
      </c>
      <c r="B80" s="9">
        <v>1223</v>
      </c>
      <c r="C80" s="9">
        <v>49</v>
      </c>
      <c r="D80" s="9">
        <v>1273</v>
      </c>
      <c r="E80" s="22" t="s">
        <v>1528</v>
      </c>
    </row>
    <row r="81" spans="1:9" ht="18" x14ac:dyDescent="0.45">
      <c r="A81" s="3" t="s">
        <v>1543</v>
      </c>
      <c r="B81" s="9">
        <v>898</v>
      </c>
      <c r="C81" s="9">
        <v>394</v>
      </c>
      <c r="D81" s="9">
        <v>1292</v>
      </c>
      <c r="E81" s="22" t="s">
        <v>1528</v>
      </c>
    </row>
    <row r="82" spans="1:9" ht="18" x14ac:dyDescent="0.45">
      <c r="A82" s="3" t="s">
        <v>1407</v>
      </c>
      <c r="B82" s="9">
        <v>13</v>
      </c>
      <c r="C82" s="9">
        <v>23</v>
      </c>
      <c r="D82" s="9">
        <v>36</v>
      </c>
      <c r="E82" s="22" t="s">
        <v>1528</v>
      </c>
    </row>
    <row r="83" spans="1:9" ht="18" x14ac:dyDescent="0.45">
      <c r="A83" s="3" t="s">
        <v>1544</v>
      </c>
      <c r="B83" s="9">
        <v>999</v>
      </c>
      <c r="C83" s="9">
        <v>533</v>
      </c>
      <c r="D83" s="9">
        <v>1532</v>
      </c>
      <c r="E83" s="22" t="s">
        <v>1528</v>
      </c>
    </row>
    <row r="85" spans="1:9" ht="22.05" customHeight="1" x14ac:dyDescent="0.5">
      <c r="A85" s="13" t="s">
        <v>1545</v>
      </c>
    </row>
    <row r="86" spans="1:9" ht="30" customHeight="1" x14ac:dyDescent="0.2">
      <c r="A86" s="4" t="s">
        <v>1346</v>
      </c>
      <c r="B86" s="4" t="s">
        <v>1344</v>
      </c>
      <c r="C86" s="4" t="s">
        <v>522</v>
      </c>
    </row>
    <row r="87" spans="1:9" ht="18" x14ac:dyDescent="0.45">
      <c r="A87" s="3" t="s">
        <v>1546</v>
      </c>
      <c r="B87" s="9">
        <v>3596</v>
      </c>
      <c r="C87" s="22" t="s">
        <v>1547</v>
      </c>
    </row>
    <row r="88" spans="1:9" ht="18" x14ac:dyDescent="0.45">
      <c r="A88" s="3" t="s">
        <v>1548</v>
      </c>
      <c r="B88" s="9">
        <v>2999</v>
      </c>
      <c r="C88" s="22" t="s">
        <v>1547</v>
      </c>
    </row>
    <row r="89" spans="1:9" ht="18" x14ac:dyDescent="0.45">
      <c r="A89" s="3" t="s">
        <v>1549</v>
      </c>
      <c r="B89" s="9">
        <v>2665</v>
      </c>
      <c r="C89" s="22" t="s">
        <v>1547</v>
      </c>
    </row>
    <row r="90" spans="1:9" ht="18" x14ac:dyDescent="0.45">
      <c r="A90" s="3" t="s">
        <v>1550</v>
      </c>
      <c r="B90" s="9">
        <v>3110</v>
      </c>
      <c r="C90" s="22" t="s">
        <v>1547</v>
      </c>
    </row>
    <row r="91" spans="1:9" ht="18" x14ac:dyDescent="0.45">
      <c r="A91" s="3" t="s">
        <v>1551</v>
      </c>
      <c r="B91" s="9">
        <v>2716</v>
      </c>
      <c r="C91" s="22" t="s">
        <v>1547</v>
      </c>
    </row>
    <row r="93" spans="1:9" ht="22.05" customHeight="1" x14ac:dyDescent="0.5">
      <c r="A93" s="13" t="s">
        <v>1438</v>
      </c>
    </row>
    <row r="94" spans="1:9" ht="31.95" customHeight="1" x14ac:dyDescent="0.2">
      <c r="A94" s="50" t="s">
        <v>1552</v>
      </c>
      <c r="B94" s="51"/>
      <c r="C94" s="51"/>
      <c r="D94" s="51"/>
      <c r="E94" s="51"/>
      <c r="F94" s="51"/>
      <c r="G94" s="51"/>
      <c r="H94" s="51"/>
      <c r="I94" s="51"/>
    </row>
    <row r="95" spans="1:9" ht="18" customHeight="1" x14ac:dyDescent="0.2">
      <c r="A95" s="50" t="s">
        <v>1553</v>
      </c>
      <c r="B95" s="51"/>
      <c r="C95" s="51"/>
      <c r="D95" s="51"/>
      <c r="E95" s="51"/>
      <c r="F95" s="51"/>
      <c r="G95" s="51"/>
      <c r="H95" s="51"/>
      <c r="I95" s="51"/>
    </row>
    <row r="96" spans="1:9" ht="31.95" customHeight="1" x14ac:dyDescent="0.2">
      <c r="A96" s="50" t="s">
        <v>1554</v>
      </c>
      <c r="B96" s="51"/>
      <c r="C96" s="51"/>
      <c r="D96" s="51"/>
      <c r="E96" s="51"/>
      <c r="F96" s="51"/>
      <c r="G96" s="51"/>
      <c r="H96" s="51"/>
      <c r="I96" s="51"/>
    </row>
    <row r="97" spans="1:9" ht="31.95" customHeight="1" x14ac:dyDescent="0.2">
      <c r="A97" s="50" t="s">
        <v>1555</v>
      </c>
      <c r="B97" s="51"/>
      <c r="C97" s="51"/>
      <c r="D97" s="51"/>
      <c r="E97" s="51"/>
      <c r="F97" s="51"/>
      <c r="G97" s="51"/>
      <c r="H97" s="51"/>
      <c r="I97" s="51"/>
    </row>
    <row r="98" spans="1:9" ht="31.95" customHeight="1" x14ac:dyDescent="0.2">
      <c r="A98" s="50" t="s">
        <v>1556</v>
      </c>
      <c r="B98" s="51"/>
      <c r="C98" s="51"/>
      <c r="D98" s="51"/>
      <c r="E98" s="51"/>
      <c r="F98" s="51"/>
      <c r="G98" s="51"/>
      <c r="H98" s="51"/>
      <c r="I98" s="51"/>
    </row>
    <row r="100" spans="1:9" ht="22.05" customHeight="1" x14ac:dyDescent="0.5">
      <c r="A100" s="13" t="s">
        <v>1444</v>
      </c>
    </row>
    <row r="101" spans="1:9" ht="48" customHeight="1" x14ac:dyDescent="0.2">
      <c r="A101" s="50" t="s">
        <v>1557</v>
      </c>
      <c r="B101" s="51"/>
      <c r="C101" s="51"/>
      <c r="D101" s="51"/>
      <c r="E101" s="51"/>
      <c r="F101" s="51"/>
      <c r="G101" s="51"/>
      <c r="H101" s="51"/>
      <c r="I101" s="51"/>
    </row>
    <row r="102" spans="1:9" ht="31.95" customHeight="1" x14ac:dyDescent="0.2">
      <c r="A102" s="50" t="s">
        <v>1558</v>
      </c>
      <c r="B102" s="51"/>
      <c r="C102" s="51"/>
      <c r="D102" s="51"/>
      <c r="E102" s="51"/>
      <c r="F102" s="51"/>
      <c r="G102" s="51"/>
      <c r="H102" s="51"/>
      <c r="I102" s="51"/>
    </row>
    <row r="103" spans="1:9" ht="18" customHeight="1" x14ac:dyDescent="0.2">
      <c r="A103" s="50" t="s">
        <v>1559</v>
      </c>
      <c r="B103" s="51"/>
      <c r="C103" s="51"/>
      <c r="D103" s="51"/>
      <c r="E103" s="51"/>
      <c r="F103" s="51"/>
      <c r="G103" s="51"/>
      <c r="H103" s="51"/>
      <c r="I103" s="51"/>
    </row>
    <row r="104" spans="1:9" ht="31.95" customHeight="1" x14ac:dyDescent="0.2">
      <c r="A104" s="50" t="s">
        <v>1560</v>
      </c>
      <c r="B104" s="51"/>
      <c r="C104" s="51"/>
      <c r="D104" s="51"/>
      <c r="E104" s="51"/>
      <c r="F104" s="51"/>
      <c r="G104" s="51"/>
      <c r="H104" s="51"/>
      <c r="I104" s="51"/>
    </row>
    <row r="106" spans="1:9" ht="22.05" customHeight="1" x14ac:dyDescent="0.5">
      <c r="A106" s="13" t="s">
        <v>1449</v>
      </c>
    </row>
    <row r="107" spans="1:9" ht="18" customHeight="1" x14ac:dyDescent="0.2">
      <c r="A107" s="50" t="s">
        <v>938</v>
      </c>
      <c r="B107" s="51"/>
      <c r="C107" s="51"/>
      <c r="D107" s="51"/>
      <c r="E107" s="51"/>
      <c r="F107" s="51"/>
      <c r="G107" s="51"/>
      <c r="H107" s="51"/>
      <c r="I107" s="51"/>
    </row>
    <row r="108" spans="1:9" ht="31.95" customHeight="1" x14ac:dyDescent="0.2">
      <c r="A108" s="50" t="s">
        <v>939</v>
      </c>
      <c r="B108" s="51"/>
      <c r="C108" s="51"/>
      <c r="D108" s="51"/>
      <c r="E108" s="51"/>
      <c r="F108" s="51"/>
      <c r="G108" s="51"/>
      <c r="H108" s="51"/>
      <c r="I108" s="51"/>
    </row>
    <row r="109" spans="1:9" ht="31.95" customHeight="1" x14ac:dyDescent="0.2">
      <c r="A109" s="50" t="s">
        <v>940</v>
      </c>
      <c r="B109" s="51"/>
      <c r="C109" s="51"/>
      <c r="D109" s="51"/>
      <c r="E109" s="51"/>
      <c r="F109" s="51"/>
      <c r="G109" s="51"/>
      <c r="H109" s="51"/>
      <c r="I109" s="51"/>
    </row>
    <row r="110" spans="1:9" ht="31.95" customHeight="1" x14ac:dyDescent="0.2">
      <c r="A110" s="50" t="s">
        <v>941</v>
      </c>
      <c r="B110" s="51"/>
      <c r="C110" s="51"/>
      <c r="D110" s="51"/>
      <c r="E110" s="51"/>
      <c r="F110" s="51"/>
      <c r="G110" s="51"/>
      <c r="H110" s="51"/>
      <c r="I110" s="51"/>
    </row>
    <row r="111" spans="1:9" ht="18" customHeight="1" x14ac:dyDescent="0.2">
      <c r="A111" s="52" t="s">
        <v>1450</v>
      </c>
      <c r="B111" s="51"/>
      <c r="C111" s="51"/>
      <c r="D111" s="51"/>
      <c r="E111" s="51"/>
      <c r="F111" s="51"/>
      <c r="G111" s="51"/>
      <c r="H111" s="51"/>
      <c r="I111" s="51"/>
    </row>
    <row r="113" spans="1:9" ht="22.05" customHeight="1" x14ac:dyDescent="0.5">
      <c r="A113" s="13" t="s">
        <v>1451</v>
      </c>
    </row>
    <row r="114" spans="1:9" ht="18" customHeight="1" x14ac:dyDescent="0.2">
      <c r="A114" s="50" t="s">
        <v>1561</v>
      </c>
      <c r="B114" s="51"/>
      <c r="C114" s="51"/>
      <c r="D114" s="51"/>
      <c r="E114" s="51"/>
      <c r="F114" s="51"/>
      <c r="G114" s="51"/>
      <c r="H114" s="51"/>
      <c r="I114" s="51"/>
    </row>
    <row r="115" spans="1:9" ht="18" customHeight="1" x14ac:dyDescent="0.2">
      <c r="A115" s="50" t="s">
        <v>1562</v>
      </c>
      <c r="B115" s="51"/>
      <c r="C115" s="51"/>
      <c r="D115" s="51"/>
      <c r="E115" s="51"/>
      <c r="F115" s="51"/>
      <c r="G115" s="51"/>
      <c r="H115" s="51"/>
      <c r="I115" s="51"/>
    </row>
    <row r="116" spans="1:9" ht="31.95" customHeight="1" x14ac:dyDescent="0.2">
      <c r="A116" s="50" t="s">
        <v>1563</v>
      </c>
      <c r="B116" s="51"/>
      <c r="C116" s="51"/>
      <c r="D116" s="51"/>
      <c r="E116" s="51"/>
      <c r="F116" s="51"/>
      <c r="G116" s="51"/>
      <c r="H116" s="51"/>
      <c r="I116" s="51"/>
    </row>
    <row r="117" spans="1:9" ht="18" customHeight="1" x14ac:dyDescent="0.2">
      <c r="A117" s="50" t="s">
        <v>1564</v>
      </c>
      <c r="B117" s="51"/>
      <c r="C117" s="51"/>
      <c r="D117" s="51"/>
      <c r="E117" s="51"/>
      <c r="F117" s="51"/>
      <c r="G117" s="51"/>
      <c r="H117" s="51"/>
      <c r="I117" s="51"/>
    </row>
  </sheetData>
  <mergeCells count="21">
    <mergeCell ref="A117:I117"/>
    <mergeCell ref="A111:I111"/>
    <mergeCell ref="A102:I102"/>
    <mergeCell ref="A114:I114"/>
    <mergeCell ref="A98:I98"/>
    <mergeCell ref="A107:I107"/>
    <mergeCell ref="A103:I103"/>
    <mergeCell ref="A110:I110"/>
    <mergeCell ref="A116:I116"/>
    <mergeCell ref="A17:I17"/>
    <mergeCell ref="A97:I97"/>
    <mergeCell ref="A22:I22"/>
    <mergeCell ref="A109:I109"/>
    <mergeCell ref="A96:I96"/>
    <mergeCell ref="A115:I115"/>
    <mergeCell ref="A94:I94"/>
    <mergeCell ref="A108:I108"/>
    <mergeCell ref="A101:I101"/>
    <mergeCell ref="A104:I104"/>
    <mergeCell ref="A95:I95"/>
    <mergeCell ref="A2:I2"/>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879</v>
      </c>
    </row>
    <row r="2" spans="1:9" ht="48" customHeight="1" x14ac:dyDescent="0.2">
      <c r="A2" s="52" t="s">
        <v>1565</v>
      </c>
      <c r="B2" s="51"/>
      <c r="C2" s="51"/>
      <c r="D2" s="51"/>
      <c r="E2" s="51"/>
      <c r="F2" s="51"/>
      <c r="G2" s="51"/>
      <c r="H2" s="51"/>
      <c r="I2" s="51"/>
    </row>
    <row r="4" spans="1:9" ht="22.05" customHeight="1" x14ac:dyDescent="0.5">
      <c r="A4" s="13" t="s">
        <v>1340</v>
      </c>
    </row>
    <row r="5" spans="1:9" ht="30" customHeight="1" x14ac:dyDescent="0.2">
      <c r="A5" s="4" t="s">
        <v>1341</v>
      </c>
      <c r="B5" s="4" t="s">
        <v>13</v>
      </c>
      <c r="C5" s="4" t="s">
        <v>1566</v>
      </c>
      <c r="D5" s="4" t="s">
        <v>1346</v>
      </c>
      <c r="E5" s="4" t="s">
        <v>522</v>
      </c>
    </row>
    <row r="6" spans="1:9" ht="18" x14ac:dyDescent="0.45">
      <c r="A6" s="37">
        <v>2015</v>
      </c>
      <c r="B6" s="9">
        <v>35</v>
      </c>
      <c r="C6" s="38" t="s">
        <v>51</v>
      </c>
      <c r="D6" s="39" t="s">
        <v>1347</v>
      </c>
      <c r="E6" s="22" t="s">
        <v>1567</v>
      </c>
    </row>
    <row r="7" spans="1:9" ht="18" x14ac:dyDescent="0.45">
      <c r="A7" s="37">
        <v>2016</v>
      </c>
      <c r="B7" s="9">
        <v>165</v>
      </c>
      <c r="C7" s="38">
        <f t="shared" ref="C7:C16" si="0">IF(B6="","",B7/B6-1)</f>
        <v>3.7142857142857144</v>
      </c>
      <c r="D7" s="39" t="s">
        <v>1347</v>
      </c>
      <c r="E7" s="22" t="s">
        <v>1567</v>
      </c>
    </row>
    <row r="8" spans="1:9" ht="18" x14ac:dyDescent="0.45">
      <c r="A8" s="37">
        <v>2017</v>
      </c>
      <c r="B8" s="9">
        <v>186</v>
      </c>
      <c r="C8" s="38">
        <f t="shared" si="0"/>
        <v>0.1272727272727272</v>
      </c>
      <c r="D8" s="39" t="s">
        <v>1347</v>
      </c>
      <c r="E8" s="22" t="s">
        <v>1567</v>
      </c>
    </row>
    <row r="9" spans="1:9" ht="18" x14ac:dyDescent="0.45">
      <c r="A9" s="37">
        <v>2018</v>
      </c>
      <c r="B9" s="9">
        <v>279</v>
      </c>
      <c r="C9" s="38">
        <f t="shared" si="0"/>
        <v>0.5</v>
      </c>
      <c r="D9" s="39" t="s">
        <v>1347</v>
      </c>
      <c r="E9" s="22" t="s">
        <v>1567</v>
      </c>
    </row>
    <row r="10" spans="1:9" ht="18" x14ac:dyDescent="0.45">
      <c r="A10" s="37">
        <v>2019</v>
      </c>
      <c r="B10" s="9">
        <v>744</v>
      </c>
      <c r="C10" s="38">
        <f t="shared" si="0"/>
        <v>1.6666666666666665</v>
      </c>
      <c r="D10" s="39" t="s">
        <v>1347</v>
      </c>
      <c r="E10" s="22" t="s">
        <v>1567</v>
      </c>
    </row>
    <row r="11" spans="1:9" ht="18" x14ac:dyDescent="0.45">
      <c r="A11" s="37">
        <v>2020</v>
      </c>
      <c r="B11" s="9">
        <v>10</v>
      </c>
      <c r="C11" s="38">
        <f t="shared" si="0"/>
        <v>-0.98655913978494625</v>
      </c>
      <c r="D11" s="39" t="s">
        <v>1347</v>
      </c>
      <c r="E11" s="22" t="s">
        <v>1567</v>
      </c>
    </row>
    <row r="12" spans="1:9" ht="18" x14ac:dyDescent="0.45">
      <c r="A12" s="37">
        <v>2021</v>
      </c>
      <c r="B12" s="9">
        <v>6</v>
      </c>
      <c r="C12" s="38">
        <f t="shared" si="0"/>
        <v>-0.4</v>
      </c>
      <c r="D12" s="39" t="s">
        <v>1347</v>
      </c>
      <c r="E12" s="22" t="s">
        <v>1567</v>
      </c>
    </row>
    <row r="13" spans="1:9" ht="18" x14ac:dyDescent="0.45">
      <c r="A13" s="37">
        <v>2022</v>
      </c>
      <c r="B13" s="9">
        <v>6</v>
      </c>
      <c r="C13" s="38">
        <f t="shared" si="0"/>
        <v>0</v>
      </c>
      <c r="D13" s="39" t="s">
        <v>1347</v>
      </c>
      <c r="E13" s="22" t="s">
        <v>1567</v>
      </c>
    </row>
    <row r="14" spans="1:9" ht="18" x14ac:dyDescent="0.45">
      <c r="A14" s="37">
        <v>2023</v>
      </c>
      <c r="B14" s="9">
        <v>28</v>
      </c>
      <c r="C14" s="38">
        <f t="shared" si="0"/>
        <v>3.666666666666667</v>
      </c>
      <c r="D14" s="39" t="s">
        <v>1347</v>
      </c>
      <c r="E14" s="22" t="s">
        <v>1567</v>
      </c>
    </row>
    <row r="15" spans="1:9" ht="18" x14ac:dyDescent="0.45">
      <c r="A15" s="37">
        <v>2024</v>
      </c>
      <c r="B15" s="9">
        <v>45</v>
      </c>
      <c r="C15" s="38">
        <f t="shared" si="0"/>
        <v>0.60714285714285721</v>
      </c>
      <c r="D15" s="39" t="s">
        <v>1347</v>
      </c>
      <c r="E15" s="22" t="s">
        <v>1567</v>
      </c>
    </row>
    <row r="16" spans="1:9" ht="18" x14ac:dyDescent="0.45">
      <c r="A16" s="44">
        <v>2025</v>
      </c>
      <c r="B16" s="28">
        <v>265</v>
      </c>
      <c r="C16" s="45">
        <f t="shared" si="0"/>
        <v>4.8888888888888893</v>
      </c>
      <c r="D16" s="46" t="s">
        <v>1356</v>
      </c>
      <c r="E16" s="47" t="s">
        <v>1568</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v>
      </c>
      <c r="B21" s="3" t="s">
        <v>1510</v>
      </c>
      <c r="C21" s="9">
        <v>579</v>
      </c>
      <c r="D21" s="9">
        <v>231</v>
      </c>
      <c r="E21" s="25">
        <f>C21/D21-1</f>
        <v>1.5064935064935066</v>
      </c>
      <c r="F21" s="39" t="s">
        <v>1356</v>
      </c>
      <c r="G21" s="22" t="s">
        <v>1568</v>
      </c>
    </row>
    <row r="22" spans="1:9" ht="18" customHeight="1" x14ac:dyDescent="0.2">
      <c r="A22" s="52" t="s">
        <v>1569</v>
      </c>
      <c r="B22" s="51"/>
      <c r="C22" s="51"/>
      <c r="D22" s="51"/>
      <c r="E22" s="51"/>
      <c r="F22" s="51"/>
      <c r="G22" s="51"/>
      <c r="H22" s="51"/>
      <c r="I22" s="51"/>
    </row>
    <row r="23" spans="1:9" ht="31.95" customHeight="1" x14ac:dyDescent="0.2">
      <c r="A23" s="52" t="s">
        <v>1570</v>
      </c>
      <c r="B23" s="51"/>
      <c r="C23" s="51"/>
      <c r="D23" s="51"/>
      <c r="E23" s="51"/>
      <c r="F23" s="51"/>
      <c r="G23" s="51"/>
      <c r="H23" s="51"/>
      <c r="I23" s="51"/>
    </row>
    <row r="25" spans="1:9" ht="22.05" customHeight="1" x14ac:dyDescent="0.5">
      <c r="A25" s="13" t="s">
        <v>1513</v>
      </c>
    </row>
    <row r="26" spans="1:9" ht="30" customHeight="1" x14ac:dyDescent="0.2">
      <c r="A26" s="4" t="s">
        <v>1346</v>
      </c>
      <c r="B26" s="4" t="s">
        <v>1361</v>
      </c>
      <c r="C26" s="4" t="s">
        <v>1362</v>
      </c>
      <c r="D26" s="4" t="s">
        <v>522</v>
      </c>
    </row>
    <row r="27" spans="1:9" ht="18" x14ac:dyDescent="0.45">
      <c r="A27" s="3" t="s">
        <v>13</v>
      </c>
      <c r="B27" s="9">
        <v>30</v>
      </c>
      <c r="C27" s="9">
        <v>15</v>
      </c>
      <c r="D27" s="22" t="s">
        <v>1571</v>
      </c>
    </row>
    <row r="29" spans="1:9" ht="22.05" customHeight="1" x14ac:dyDescent="0.5">
      <c r="A29" s="13" t="s">
        <v>1515</v>
      </c>
    </row>
    <row r="30" spans="1:9" ht="30" customHeight="1" x14ac:dyDescent="0.2">
      <c r="A30" s="4" t="s">
        <v>1346</v>
      </c>
      <c r="B30" s="4" t="s">
        <v>13</v>
      </c>
      <c r="C30" s="4" t="s">
        <v>522</v>
      </c>
    </row>
    <row r="31" spans="1:9" ht="18" x14ac:dyDescent="0.45">
      <c r="A31" s="3" t="s">
        <v>1516</v>
      </c>
      <c r="B31" s="9">
        <v>6</v>
      </c>
      <c r="C31" s="22" t="s">
        <v>1571</v>
      </c>
    </row>
    <row r="32" spans="1:9" ht="18" x14ac:dyDescent="0.45">
      <c r="A32" s="3" t="s">
        <v>1517</v>
      </c>
      <c r="B32" s="9">
        <v>1</v>
      </c>
      <c r="C32" s="22" t="s">
        <v>1571</v>
      </c>
    </row>
    <row r="33" spans="1:3" ht="18" x14ac:dyDescent="0.45">
      <c r="A33" s="3" t="s">
        <v>1518</v>
      </c>
      <c r="B33" s="9">
        <v>1</v>
      </c>
      <c r="C33" s="22" t="s">
        <v>1571</v>
      </c>
    </row>
    <row r="34" spans="1:3" ht="18" x14ac:dyDescent="0.45">
      <c r="A34" s="3" t="s">
        <v>1368</v>
      </c>
      <c r="B34" s="9">
        <v>1</v>
      </c>
      <c r="C34" s="22" t="s">
        <v>1571</v>
      </c>
    </row>
    <row r="35" spans="1:3" ht="18" x14ac:dyDescent="0.45">
      <c r="A35" s="3" t="s">
        <v>1369</v>
      </c>
      <c r="B35" s="9">
        <v>7</v>
      </c>
      <c r="C35" s="22" t="s">
        <v>1571</v>
      </c>
    </row>
    <row r="36" spans="1:3" ht="18" x14ac:dyDescent="0.45">
      <c r="A36" s="3" t="s">
        <v>1370</v>
      </c>
      <c r="B36" s="9">
        <v>6</v>
      </c>
      <c r="C36" s="22" t="s">
        <v>1571</v>
      </c>
    </row>
    <row r="37" spans="1:3" ht="18" x14ac:dyDescent="0.45">
      <c r="A37" s="3" t="s">
        <v>1371</v>
      </c>
      <c r="B37" s="9">
        <v>8</v>
      </c>
      <c r="C37" s="22" t="s">
        <v>1571</v>
      </c>
    </row>
    <row r="38" spans="1:3" ht="18" x14ac:dyDescent="0.45">
      <c r="A38" s="3" t="s">
        <v>1372</v>
      </c>
      <c r="B38" s="9">
        <v>6</v>
      </c>
      <c r="C38" s="22" t="s">
        <v>1571</v>
      </c>
    </row>
    <row r="39" spans="1:3" ht="18" x14ac:dyDescent="0.45">
      <c r="A39" s="3" t="s">
        <v>1373</v>
      </c>
      <c r="B39" s="9">
        <v>2</v>
      </c>
      <c r="C39" s="22" t="s">
        <v>1571</v>
      </c>
    </row>
    <row r="40" spans="1:3" ht="18" x14ac:dyDescent="0.45">
      <c r="A40" s="3" t="s">
        <v>1374</v>
      </c>
      <c r="B40" s="9">
        <v>3</v>
      </c>
      <c r="C40" s="22" t="s">
        <v>1571</v>
      </c>
    </row>
    <row r="41" spans="1:3" ht="18" x14ac:dyDescent="0.45">
      <c r="A41" s="3" t="s">
        <v>1375</v>
      </c>
      <c r="B41" s="9">
        <v>3</v>
      </c>
      <c r="C41" s="22" t="s">
        <v>1571</v>
      </c>
    </row>
    <row r="42" spans="1:3" ht="18" x14ac:dyDescent="0.45">
      <c r="A42" s="3" t="s">
        <v>1376</v>
      </c>
      <c r="B42" s="9">
        <v>1</v>
      </c>
      <c r="C42" s="22" t="s">
        <v>1571</v>
      </c>
    </row>
    <row r="43" spans="1:3" ht="18" x14ac:dyDescent="0.45">
      <c r="A43" s="3" t="s">
        <v>1377</v>
      </c>
      <c r="B43" s="9">
        <v>0</v>
      </c>
      <c r="C43" s="22" t="s">
        <v>1571</v>
      </c>
    </row>
    <row r="44" spans="1:3" ht="18" x14ac:dyDescent="0.45">
      <c r="A44" s="3" t="s">
        <v>1519</v>
      </c>
      <c r="B44" s="9">
        <v>0</v>
      </c>
      <c r="C44" s="22" t="s">
        <v>1571</v>
      </c>
    </row>
    <row r="45" spans="1:3" ht="18" x14ac:dyDescent="0.45">
      <c r="A45" s="3" t="s">
        <v>1520</v>
      </c>
      <c r="B45" s="9">
        <v>0</v>
      </c>
      <c r="C45" s="22" t="s">
        <v>1571</v>
      </c>
    </row>
    <row r="46" spans="1:3" ht="18" x14ac:dyDescent="0.45">
      <c r="A46" s="3" t="s">
        <v>1521</v>
      </c>
      <c r="B46" s="9">
        <v>0</v>
      </c>
      <c r="C46" s="22" t="s">
        <v>1571</v>
      </c>
    </row>
    <row r="48" spans="1:3" ht="22.05" customHeight="1" x14ac:dyDescent="0.5">
      <c r="A48" s="13" t="s">
        <v>1522</v>
      </c>
    </row>
    <row r="49" spans="1:9" ht="30" customHeight="1" x14ac:dyDescent="0.2">
      <c r="A49" s="4" t="s">
        <v>1346</v>
      </c>
      <c r="B49" s="4" t="s">
        <v>1382</v>
      </c>
      <c r="C49" s="4" t="s">
        <v>1523</v>
      </c>
      <c r="D49" s="4" t="s">
        <v>522</v>
      </c>
    </row>
    <row r="50" spans="1:9" ht="18" x14ac:dyDescent="0.45">
      <c r="A50" s="3" t="s">
        <v>1388</v>
      </c>
      <c r="B50" s="40">
        <v>1</v>
      </c>
      <c r="C50" s="9">
        <v>11</v>
      </c>
      <c r="D50" s="22" t="s">
        <v>1571</v>
      </c>
    </row>
    <row r="51" spans="1:9" ht="18" x14ac:dyDescent="0.45">
      <c r="A51" s="3" t="s">
        <v>1386</v>
      </c>
      <c r="B51" s="40">
        <v>2</v>
      </c>
      <c r="C51" s="9">
        <v>10</v>
      </c>
      <c r="D51" s="22" t="s">
        <v>1571</v>
      </c>
    </row>
    <row r="52" spans="1:9" ht="18" x14ac:dyDescent="0.45">
      <c r="A52" s="3" t="s">
        <v>1572</v>
      </c>
      <c r="B52" s="40">
        <v>3</v>
      </c>
      <c r="C52" s="9">
        <v>8</v>
      </c>
      <c r="D52" s="22" t="s">
        <v>1571</v>
      </c>
    </row>
    <row r="53" spans="1:9" ht="18" x14ac:dyDescent="0.45">
      <c r="A53" s="3" t="s">
        <v>1573</v>
      </c>
      <c r="B53" s="40">
        <v>4</v>
      </c>
      <c r="C53" s="9">
        <v>4</v>
      </c>
      <c r="D53" s="22" t="s">
        <v>1571</v>
      </c>
    </row>
    <row r="54" spans="1:9" ht="18" x14ac:dyDescent="0.45">
      <c r="A54" s="3" t="s">
        <v>1574</v>
      </c>
      <c r="B54" s="40">
        <v>4</v>
      </c>
      <c r="C54" s="9">
        <v>4</v>
      </c>
      <c r="D54" s="22" t="s">
        <v>1571</v>
      </c>
    </row>
    <row r="56" spans="1:9" ht="22.05" customHeight="1" x14ac:dyDescent="0.5">
      <c r="A56" s="13" t="s">
        <v>1575</v>
      </c>
    </row>
    <row r="57" spans="1:9" ht="30" customHeight="1" x14ac:dyDescent="0.2">
      <c r="A57" s="4" t="s">
        <v>1346</v>
      </c>
      <c r="B57" s="4" t="s">
        <v>13</v>
      </c>
      <c r="C57" s="4" t="s">
        <v>522</v>
      </c>
    </row>
    <row r="58" spans="1:9" ht="18" x14ac:dyDescent="0.45">
      <c r="A58" s="3" t="s">
        <v>1576</v>
      </c>
      <c r="B58" s="9">
        <v>20</v>
      </c>
      <c r="C58" s="22" t="s">
        <v>1577</v>
      </c>
    </row>
    <row r="59" spans="1:9" ht="18" x14ac:dyDescent="0.45">
      <c r="A59" s="3" t="s">
        <v>1578</v>
      </c>
      <c r="B59" s="9">
        <v>7</v>
      </c>
      <c r="C59" s="22" t="s">
        <v>1577</v>
      </c>
    </row>
    <row r="60" spans="1:9" ht="18" x14ac:dyDescent="0.45">
      <c r="A60" s="3" t="s">
        <v>1579</v>
      </c>
      <c r="B60" s="9">
        <v>6</v>
      </c>
      <c r="C60" s="22" t="s">
        <v>1577</v>
      </c>
    </row>
    <row r="61" spans="1:9" ht="18" x14ac:dyDescent="0.45">
      <c r="A61" s="3" t="s">
        <v>1580</v>
      </c>
      <c r="B61" s="9">
        <v>12</v>
      </c>
      <c r="C61" s="22" t="s">
        <v>1577</v>
      </c>
    </row>
    <row r="62" spans="1:9" ht="31.95" customHeight="1" x14ac:dyDescent="0.2">
      <c r="A62" s="52" t="s">
        <v>1581</v>
      </c>
      <c r="B62" s="51"/>
      <c r="C62" s="51"/>
      <c r="D62" s="51"/>
      <c r="E62" s="51"/>
      <c r="F62" s="51"/>
      <c r="G62" s="51"/>
      <c r="H62" s="51"/>
      <c r="I62" s="51"/>
    </row>
    <row r="64" spans="1:9" ht="22.05" customHeight="1" x14ac:dyDescent="0.5">
      <c r="A64" s="13" t="s">
        <v>1582</v>
      </c>
    </row>
    <row r="65" spans="1:9" ht="30" customHeight="1" x14ac:dyDescent="0.2">
      <c r="A65" s="4" t="s">
        <v>1346</v>
      </c>
      <c r="B65" s="4" t="s">
        <v>13</v>
      </c>
      <c r="C65" s="4" t="s">
        <v>522</v>
      </c>
    </row>
    <row r="66" spans="1:9" ht="18" x14ac:dyDescent="0.45">
      <c r="A66" s="3" t="s">
        <v>1583</v>
      </c>
      <c r="B66" s="9">
        <v>14</v>
      </c>
      <c r="C66" s="22" t="s">
        <v>1584</v>
      </c>
    </row>
    <row r="67" spans="1:9" ht="18" x14ac:dyDescent="0.45">
      <c r="A67" s="3" t="s">
        <v>1585</v>
      </c>
      <c r="B67" s="9">
        <v>22</v>
      </c>
      <c r="C67" s="22" t="s">
        <v>1584</v>
      </c>
    </row>
    <row r="68" spans="1:9" ht="18" x14ac:dyDescent="0.45">
      <c r="A68" s="3" t="s">
        <v>1379</v>
      </c>
      <c r="B68" s="9">
        <v>9</v>
      </c>
      <c r="C68" s="22" t="s">
        <v>1584</v>
      </c>
    </row>
    <row r="69" spans="1:9" ht="31.95" customHeight="1" x14ac:dyDescent="0.2">
      <c r="A69" s="52" t="s">
        <v>1586</v>
      </c>
      <c r="B69" s="51"/>
      <c r="C69" s="51"/>
      <c r="D69" s="51"/>
      <c r="E69" s="51"/>
      <c r="F69" s="51"/>
      <c r="G69" s="51"/>
      <c r="H69" s="51"/>
      <c r="I69" s="51"/>
    </row>
    <row r="71" spans="1:9" ht="22.05" customHeight="1" x14ac:dyDescent="0.5">
      <c r="A71" s="13" t="s">
        <v>1587</v>
      </c>
    </row>
    <row r="72" spans="1:9" ht="30" customHeight="1" x14ac:dyDescent="0.2">
      <c r="A72" s="4" t="s">
        <v>1346</v>
      </c>
      <c r="B72" s="4" t="s">
        <v>13</v>
      </c>
      <c r="C72" s="4" t="s">
        <v>522</v>
      </c>
    </row>
    <row r="73" spans="1:9" ht="18" x14ac:dyDescent="0.45">
      <c r="A73" s="3" t="s">
        <v>91</v>
      </c>
      <c r="B73" s="9">
        <v>6</v>
      </c>
      <c r="C73" s="22" t="s">
        <v>1588</v>
      </c>
    </row>
    <row r="74" spans="1:9" ht="18" x14ac:dyDescent="0.45">
      <c r="A74" s="3" t="s">
        <v>125</v>
      </c>
      <c r="B74" s="9">
        <v>3</v>
      </c>
      <c r="C74" s="22" t="s">
        <v>1588</v>
      </c>
    </row>
    <row r="75" spans="1:9" ht="18" x14ac:dyDescent="0.45">
      <c r="A75" s="3" t="s">
        <v>69</v>
      </c>
      <c r="B75" s="9">
        <v>3</v>
      </c>
      <c r="C75" s="22" t="s">
        <v>1588</v>
      </c>
    </row>
    <row r="76" spans="1:9" ht="18" x14ac:dyDescent="0.45">
      <c r="A76" s="3" t="s">
        <v>1589</v>
      </c>
      <c r="B76" s="9">
        <v>2</v>
      </c>
      <c r="C76" s="22" t="s">
        <v>1588</v>
      </c>
    </row>
    <row r="77" spans="1:9" ht="18" x14ac:dyDescent="0.45">
      <c r="A77" s="3" t="s">
        <v>47</v>
      </c>
      <c r="B77" s="9">
        <v>2</v>
      </c>
      <c r="C77" s="22" t="s">
        <v>1588</v>
      </c>
    </row>
    <row r="78" spans="1:9" ht="18" x14ac:dyDescent="0.45">
      <c r="A78" s="3" t="s">
        <v>94</v>
      </c>
      <c r="B78" s="9">
        <v>2</v>
      </c>
      <c r="C78" s="22" t="s">
        <v>1588</v>
      </c>
    </row>
    <row r="79" spans="1:9" ht="18" x14ac:dyDescent="0.45">
      <c r="A79" s="3" t="s">
        <v>151</v>
      </c>
      <c r="B79" s="9">
        <v>1</v>
      </c>
      <c r="C79" s="22" t="s">
        <v>1588</v>
      </c>
    </row>
    <row r="80" spans="1:9" ht="18" x14ac:dyDescent="0.45">
      <c r="A80" s="3" t="s">
        <v>330</v>
      </c>
      <c r="B80" s="9">
        <v>1</v>
      </c>
      <c r="C80" s="22" t="s">
        <v>1588</v>
      </c>
    </row>
    <row r="81" spans="1:9" ht="18" x14ac:dyDescent="0.45">
      <c r="A81" s="3" t="s">
        <v>1590</v>
      </c>
      <c r="B81" s="9">
        <v>2</v>
      </c>
      <c r="C81" s="22" t="s">
        <v>1588</v>
      </c>
    </row>
    <row r="82" spans="1:9" ht="31.95" customHeight="1" x14ac:dyDescent="0.2">
      <c r="A82" s="52" t="s">
        <v>1591</v>
      </c>
      <c r="B82" s="51"/>
      <c r="C82" s="51"/>
      <c r="D82" s="51"/>
      <c r="E82" s="51"/>
      <c r="F82" s="51"/>
      <c r="G82" s="51"/>
      <c r="H82" s="51"/>
      <c r="I82" s="51"/>
    </row>
    <row r="84" spans="1:9" ht="22.05" customHeight="1" x14ac:dyDescent="0.5">
      <c r="A84" s="13" t="s">
        <v>1592</v>
      </c>
    </row>
    <row r="85" spans="1:9" ht="30" customHeight="1" x14ac:dyDescent="0.2">
      <c r="A85" s="4" t="s">
        <v>1346</v>
      </c>
      <c r="B85" s="4" t="s">
        <v>1593</v>
      </c>
      <c r="C85" s="4" t="s">
        <v>1594</v>
      </c>
      <c r="D85" s="4" t="s">
        <v>522</v>
      </c>
    </row>
    <row r="86" spans="1:9" ht="18" x14ac:dyDescent="0.45">
      <c r="A86" s="3" t="s">
        <v>1595</v>
      </c>
      <c r="B86" s="10">
        <v>96.3</v>
      </c>
      <c r="C86" s="10">
        <v>92.7</v>
      </c>
      <c r="D86" s="22" t="s">
        <v>1596</v>
      </c>
    </row>
    <row r="87" spans="1:9" ht="18" x14ac:dyDescent="0.45">
      <c r="A87" s="3" t="s">
        <v>1597</v>
      </c>
      <c r="B87" s="10">
        <v>92.7</v>
      </c>
      <c r="C87" s="10">
        <v>91</v>
      </c>
      <c r="D87" s="22" t="s">
        <v>1596</v>
      </c>
    </row>
    <row r="88" spans="1:9" ht="48" customHeight="1" x14ac:dyDescent="0.2">
      <c r="A88" s="52" t="s">
        <v>1598</v>
      </c>
      <c r="B88" s="51"/>
      <c r="C88" s="51"/>
      <c r="D88" s="51"/>
      <c r="E88" s="51"/>
      <c r="F88" s="51"/>
      <c r="G88" s="51"/>
      <c r="H88" s="51"/>
      <c r="I88" s="51"/>
    </row>
    <row r="90" spans="1:9" ht="22.05" customHeight="1" x14ac:dyDescent="0.5">
      <c r="A90" s="13" t="s">
        <v>1599</v>
      </c>
    </row>
    <row r="91" spans="1:9" ht="30" customHeight="1" x14ac:dyDescent="0.2">
      <c r="A91" s="4" t="s">
        <v>1346</v>
      </c>
      <c r="B91" s="4" t="s">
        <v>13</v>
      </c>
      <c r="C91" s="4" t="s">
        <v>522</v>
      </c>
    </row>
    <row r="92" spans="1:9" ht="18" x14ac:dyDescent="0.45">
      <c r="A92" s="3" t="s">
        <v>1600</v>
      </c>
      <c r="B92" s="9">
        <v>77</v>
      </c>
      <c r="C92" s="22" t="s">
        <v>1601</v>
      </c>
    </row>
    <row r="93" spans="1:9" ht="18" x14ac:dyDescent="0.45">
      <c r="A93" s="3" t="s">
        <v>1578</v>
      </c>
      <c r="B93" s="9">
        <v>46</v>
      </c>
      <c r="C93" s="22" t="s">
        <v>1601</v>
      </c>
    </row>
    <row r="94" spans="1:9" ht="18" x14ac:dyDescent="0.45">
      <c r="A94" s="3" t="s">
        <v>1579</v>
      </c>
      <c r="B94" s="9">
        <v>52</v>
      </c>
      <c r="C94" s="22" t="s">
        <v>1601</v>
      </c>
    </row>
    <row r="95" spans="1:9" ht="18" x14ac:dyDescent="0.45">
      <c r="A95" s="3" t="s">
        <v>1379</v>
      </c>
      <c r="B95" s="9">
        <v>90</v>
      </c>
      <c r="C95" s="22" t="s">
        <v>1601</v>
      </c>
    </row>
    <row r="96" spans="1:9" ht="18" customHeight="1" x14ac:dyDescent="0.2">
      <c r="A96" s="52" t="s">
        <v>1602</v>
      </c>
      <c r="B96" s="51"/>
      <c r="C96" s="51"/>
      <c r="D96" s="51"/>
      <c r="E96" s="51"/>
      <c r="F96" s="51"/>
      <c r="G96" s="51"/>
      <c r="H96" s="51"/>
      <c r="I96" s="51"/>
    </row>
    <row r="98" spans="1:9" ht="22.05" customHeight="1" x14ac:dyDescent="0.5">
      <c r="A98" s="13" t="s">
        <v>1603</v>
      </c>
    </row>
    <row r="99" spans="1:9" ht="30" customHeight="1" x14ac:dyDescent="0.2">
      <c r="A99" s="4" t="s">
        <v>1346</v>
      </c>
      <c r="B99" s="4" t="s">
        <v>13</v>
      </c>
      <c r="C99" s="4" t="s">
        <v>522</v>
      </c>
    </row>
    <row r="100" spans="1:9" ht="18" x14ac:dyDescent="0.45">
      <c r="A100" s="3" t="s">
        <v>1583</v>
      </c>
      <c r="B100" s="9">
        <v>153</v>
      </c>
      <c r="C100" s="22" t="s">
        <v>1601</v>
      </c>
    </row>
    <row r="101" spans="1:9" ht="18" x14ac:dyDescent="0.45">
      <c r="A101" s="3" t="s">
        <v>1585</v>
      </c>
      <c r="B101" s="9">
        <v>86</v>
      </c>
      <c r="C101" s="22" t="s">
        <v>1601</v>
      </c>
    </row>
    <row r="102" spans="1:9" ht="18" x14ac:dyDescent="0.45">
      <c r="A102" s="3" t="s">
        <v>1604</v>
      </c>
      <c r="B102" s="9">
        <v>3</v>
      </c>
      <c r="C102" s="22" t="s">
        <v>1601</v>
      </c>
    </row>
    <row r="103" spans="1:9" ht="18" x14ac:dyDescent="0.45">
      <c r="A103" s="3" t="s">
        <v>1605</v>
      </c>
      <c r="B103" s="9">
        <v>23</v>
      </c>
      <c r="C103" s="22" t="s">
        <v>1601</v>
      </c>
    </row>
    <row r="104" spans="1:9" ht="18" customHeight="1" x14ac:dyDescent="0.2">
      <c r="A104" s="52" t="s">
        <v>1606</v>
      </c>
      <c r="B104" s="51"/>
      <c r="C104" s="51"/>
      <c r="D104" s="51"/>
      <c r="E104" s="51"/>
      <c r="F104" s="51"/>
      <c r="G104" s="51"/>
      <c r="H104" s="51"/>
      <c r="I104" s="51"/>
    </row>
    <row r="106" spans="1:9" ht="22.05" customHeight="1" x14ac:dyDescent="0.5">
      <c r="A106" s="13" t="s">
        <v>1607</v>
      </c>
    </row>
    <row r="107" spans="1:9" ht="30" customHeight="1" x14ac:dyDescent="0.2">
      <c r="A107" s="4" t="s">
        <v>1346</v>
      </c>
      <c r="B107" s="4" t="s">
        <v>13</v>
      </c>
      <c r="C107" s="4" t="s">
        <v>522</v>
      </c>
    </row>
    <row r="108" spans="1:9" ht="18" x14ac:dyDescent="0.45">
      <c r="A108" s="3" t="s">
        <v>1386</v>
      </c>
      <c r="B108" s="9">
        <v>271</v>
      </c>
      <c r="C108" s="22" t="s">
        <v>1568</v>
      </c>
    </row>
    <row r="109" spans="1:9" ht="18" x14ac:dyDescent="0.45">
      <c r="A109" s="3" t="s">
        <v>1389</v>
      </c>
      <c r="B109" s="9">
        <v>49</v>
      </c>
      <c r="C109" s="22" t="s">
        <v>1568</v>
      </c>
    </row>
    <row r="110" spans="1:9" ht="18" x14ac:dyDescent="0.45">
      <c r="A110" s="3" t="s">
        <v>1572</v>
      </c>
      <c r="B110" s="9">
        <v>40</v>
      </c>
      <c r="C110" s="22" t="s">
        <v>1568</v>
      </c>
    </row>
    <row r="111" spans="1:9" ht="18" x14ac:dyDescent="0.45">
      <c r="A111" s="3" t="s">
        <v>1608</v>
      </c>
      <c r="B111" s="9">
        <v>34</v>
      </c>
      <c r="C111" s="22" t="s">
        <v>1568</v>
      </c>
    </row>
    <row r="112" spans="1:9" ht="18" x14ac:dyDescent="0.45">
      <c r="A112" s="3" t="s">
        <v>1609</v>
      </c>
      <c r="B112" s="9">
        <v>34</v>
      </c>
      <c r="C112" s="22" t="s">
        <v>1568</v>
      </c>
    </row>
    <row r="113" spans="1:9" ht="18" customHeight="1" x14ac:dyDescent="0.2">
      <c r="A113" s="52" t="s">
        <v>1610</v>
      </c>
      <c r="B113" s="51"/>
      <c r="C113" s="51"/>
      <c r="D113" s="51"/>
      <c r="E113" s="51"/>
      <c r="F113" s="51"/>
      <c r="G113" s="51"/>
      <c r="H113" s="51"/>
      <c r="I113" s="51"/>
    </row>
    <row r="115" spans="1:9" ht="22.05" customHeight="1" x14ac:dyDescent="0.5">
      <c r="A115" s="13" t="s">
        <v>1611</v>
      </c>
    </row>
    <row r="116" spans="1:9" ht="30" customHeight="1" x14ac:dyDescent="0.2">
      <c r="A116" s="4" t="s">
        <v>1346</v>
      </c>
      <c r="B116" s="4" t="s">
        <v>13</v>
      </c>
      <c r="C116" s="4" t="s">
        <v>522</v>
      </c>
    </row>
    <row r="117" spans="1:9" ht="18" x14ac:dyDescent="0.45">
      <c r="A117" s="3" t="s">
        <v>1583</v>
      </c>
      <c r="B117" s="9">
        <v>423</v>
      </c>
      <c r="C117" s="22" t="s">
        <v>1568</v>
      </c>
    </row>
    <row r="118" spans="1:9" ht="18" x14ac:dyDescent="0.45">
      <c r="A118" s="3" t="s">
        <v>1585</v>
      </c>
      <c r="B118" s="9">
        <v>48</v>
      </c>
      <c r="C118" s="22" t="s">
        <v>1568</v>
      </c>
    </row>
    <row r="119" spans="1:9" ht="18" x14ac:dyDescent="0.45">
      <c r="A119" s="3" t="s">
        <v>1604</v>
      </c>
      <c r="B119" s="9">
        <v>11</v>
      </c>
      <c r="C119" s="22" t="s">
        <v>1568</v>
      </c>
    </row>
    <row r="120" spans="1:9" ht="18" x14ac:dyDescent="0.45">
      <c r="A120" s="3" t="s">
        <v>1605</v>
      </c>
      <c r="B120" s="9">
        <v>97</v>
      </c>
      <c r="C120" s="22" t="s">
        <v>1568</v>
      </c>
    </row>
    <row r="121" spans="1:9" ht="31.95" customHeight="1" x14ac:dyDescent="0.2">
      <c r="A121" s="52" t="s">
        <v>1612</v>
      </c>
      <c r="B121" s="51"/>
      <c r="C121" s="51"/>
      <c r="D121" s="51"/>
      <c r="E121" s="51"/>
      <c r="F121" s="51"/>
      <c r="G121" s="51"/>
      <c r="H121" s="51"/>
      <c r="I121" s="51"/>
    </row>
    <row r="123" spans="1:9" ht="22.05" customHeight="1" x14ac:dyDescent="0.5">
      <c r="A123" s="13" t="s">
        <v>1613</v>
      </c>
    </row>
    <row r="124" spans="1:9" ht="30" customHeight="1" x14ac:dyDescent="0.2">
      <c r="A124" s="4" t="s">
        <v>1346</v>
      </c>
      <c r="B124" s="4" t="s">
        <v>13</v>
      </c>
      <c r="C124" s="4" t="s">
        <v>522</v>
      </c>
    </row>
    <row r="125" spans="1:9" ht="18" x14ac:dyDescent="0.45">
      <c r="A125" s="3" t="s">
        <v>1600</v>
      </c>
      <c r="B125" s="9">
        <v>83</v>
      </c>
      <c r="C125" s="22" t="s">
        <v>1568</v>
      </c>
    </row>
    <row r="126" spans="1:9" ht="18" x14ac:dyDescent="0.45">
      <c r="A126" s="3" t="s">
        <v>1578</v>
      </c>
      <c r="B126" s="9">
        <v>81</v>
      </c>
      <c r="C126" s="22" t="s">
        <v>1568</v>
      </c>
    </row>
    <row r="127" spans="1:9" ht="18" x14ac:dyDescent="0.45">
      <c r="A127" s="3" t="s">
        <v>1579</v>
      </c>
      <c r="B127" s="9">
        <v>196</v>
      </c>
      <c r="C127" s="22" t="s">
        <v>1568</v>
      </c>
    </row>
    <row r="128" spans="1:9" ht="18" x14ac:dyDescent="0.45">
      <c r="A128" s="3" t="s">
        <v>1379</v>
      </c>
      <c r="B128" s="9">
        <v>219</v>
      </c>
      <c r="C128" s="22" t="s">
        <v>1568</v>
      </c>
    </row>
    <row r="129" spans="1:9" ht="31.95" customHeight="1" x14ac:dyDescent="0.2">
      <c r="A129" s="52" t="s">
        <v>1614</v>
      </c>
      <c r="B129" s="51"/>
      <c r="C129" s="51"/>
      <c r="D129" s="51"/>
      <c r="E129" s="51"/>
      <c r="F129" s="51"/>
      <c r="G129" s="51"/>
      <c r="H129" s="51"/>
      <c r="I129" s="51"/>
    </row>
    <row r="131" spans="1:9" ht="22.05" customHeight="1" x14ac:dyDescent="0.5">
      <c r="A131" s="13" t="s">
        <v>1438</v>
      </c>
    </row>
    <row r="132" spans="1:9" ht="31.95" customHeight="1" x14ac:dyDescent="0.2">
      <c r="A132" s="50" t="s">
        <v>1615</v>
      </c>
      <c r="B132" s="51"/>
      <c r="C132" s="51"/>
      <c r="D132" s="51"/>
      <c r="E132" s="51"/>
      <c r="F132" s="51"/>
      <c r="G132" s="51"/>
      <c r="H132" s="51"/>
      <c r="I132" s="51"/>
    </row>
    <row r="133" spans="1:9" ht="31.95" customHeight="1" x14ac:dyDescent="0.2">
      <c r="A133" s="50" t="s">
        <v>1616</v>
      </c>
      <c r="B133" s="51"/>
      <c r="C133" s="51"/>
      <c r="D133" s="51"/>
      <c r="E133" s="51"/>
      <c r="F133" s="51"/>
      <c r="G133" s="51"/>
      <c r="H133" s="51"/>
      <c r="I133" s="51"/>
    </row>
    <row r="134" spans="1:9" ht="31.95" customHeight="1" x14ac:dyDescent="0.2">
      <c r="A134" s="50" t="s">
        <v>1617</v>
      </c>
      <c r="B134" s="51"/>
      <c r="C134" s="51"/>
      <c r="D134" s="51"/>
      <c r="E134" s="51"/>
      <c r="F134" s="51"/>
      <c r="G134" s="51"/>
      <c r="H134" s="51"/>
      <c r="I134" s="51"/>
    </row>
    <row r="135" spans="1:9" ht="48" customHeight="1" x14ac:dyDescent="0.2">
      <c r="A135" s="50" t="s">
        <v>1618</v>
      </c>
      <c r="B135" s="51"/>
      <c r="C135" s="51"/>
      <c r="D135" s="51"/>
      <c r="E135" s="51"/>
      <c r="F135" s="51"/>
      <c r="G135" s="51"/>
      <c r="H135" s="51"/>
      <c r="I135" s="51"/>
    </row>
    <row r="136" spans="1:9" ht="31.95" customHeight="1" x14ac:dyDescent="0.2">
      <c r="A136" s="50" t="s">
        <v>1619</v>
      </c>
      <c r="B136" s="51"/>
      <c r="C136" s="51"/>
      <c r="D136" s="51"/>
      <c r="E136" s="51"/>
      <c r="F136" s="51"/>
      <c r="G136" s="51"/>
      <c r="H136" s="51"/>
      <c r="I136" s="51"/>
    </row>
    <row r="138" spans="1:9" ht="22.05" customHeight="1" x14ac:dyDescent="0.5">
      <c r="A138" s="13" t="s">
        <v>1444</v>
      </c>
    </row>
    <row r="139" spans="1:9" ht="31.95" customHeight="1" x14ac:dyDescent="0.2">
      <c r="A139" s="50" t="s">
        <v>1620</v>
      </c>
      <c r="B139" s="51"/>
      <c r="C139" s="51"/>
      <c r="D139" s="51"/>
      <c r="E139" s="51"/>
      <c r="F139" s="51"/>
      <c r="G139" s="51"/>
      <c r="H139" s="51"/>
      <c r="I139" s="51"/>
    </row>
    <row r="140" spans="1:9" ht="31.95" customHeight="1" x14ac:dyDescent="0.2">
      <c r="A140" s="50" t="s">
        <v>1621</v>
      </c>
      <c r="B140" s="51"/>
      <c r="C140" s="51"/>
      <c r="D140" s="51"/>
      <c r="E140" s="51"/>
      <c r="F140" s="51"/>
      <c r="G140" s="51"/>
      <c r="H140" s="51"/>
      <c r="I140" s="51"/>
    </row>
    <row r="141" spans="1:9" ht="31.95" customHeight="1" x14ac:dyDescent="0.2">
      <c r="A141" s="50" t="s">
        <v>1622</v>
      </c>
      <c r="B141" s="51"/>
      <c r="C141" s="51"/>
      <c r="D141" s="51"/>
      <c r="E141" s="51"/>
      <c r="F141" s="51"/>
      <c r="G141" s="51"/>
      <c r="H141" s="51"/>
      <c r="I141" s="51"/>
    </row>
    <row r="142" spans="1:9" ht="48" customHeight="1" x14ac:dyDescent="0.2">
      <c r="A142" s="50" t="s">
        <v>1623</v>
      </c>
      <c r="B142" s="51"/>
      <c r="C142" s="51"/>
      <c r="D142" s="51"/>
      <c r="E142" s="51"/>
      <c r="F142" s="51"/>
      <c r="G142" s="51"/>
      <c r="H142" s="51"/>
      <c r="I142" s="51"/>
    </row>
    <row r="144" spans="1:9" ht="22.05" customHeight="1" x14ac:dyDescent="0.5">
      <c r="A144" s="13" t="s">
        <v>1449</v>
      </c>
    </row>
    <row r="145" spans="1:9" ht="31.95" customHeight="1" x14ac:dyDescent="0.2">
      <c r="A145" s="50" t="s">
        <v>942</v>
      </c>
      <c r="B145" s="51"/>
      <c r="C145" s="51"/>
      <c r="D145" s="51"/>
      <c r="E145" s="51"/>
      <c r="F145" s="51"/>
      <c r="G145" s="51"/>
      <c r="H145" s="51"/>
      <c r="I145" s="51"/>
    </row>
    <row r="146" spans="1:9" ht="31.95" customHeight="1" x14ac:dyDescent="0.2">
      <c r="A146" s="50" t="s">
        <v>943</v>
      </c>
      <c r="B146" s="51"/>
      <c r="C146" s="51"/>
      <c r="D146" s="51"/>
      <c r="E146" s="51"/>
      <c r="F146" s="51"/>
      <c r="G146" s="51"/>
      <c r="H146" s="51"/>
      <c r="I146" s="51"/>
    </row>
    <row r="147" spans="1:9" ht="18" customHeight="1" x14ac:dyDescent="0.2">
      <c r="A147" s="50" t="s">
        <v>944</v>
      </c>
      <c r="B147" s="51"/>
      <c r="C147" s="51"/>
      <c r="D147" s="51"/>
      <c r="E147" s="51"/>
      <c r="F147" s="51"/>
      <c r="G147" s="51"/>
      <c r="H147" s="51"/>
      <c r="I147" s="51"/>
    </row>
    <row r="148" spans="1:9" ht="31.95" customHeight="1" x14ac:dyDescent="0.2">
      <c r="A148" s="50" t="s">
        <v>945</v>
      </c>
      <c r="B148" s="51"/>
      <c r="C148" s="51"/>
      <c r="D148" s="51"/>
      <c r="E148" s="51"/>
      <c r="F148" s="51"/>
      <c r="G148" s="51"/>
      <c r="H148" s="51"/>
      <c r="I148" s="51"/>
    </row>
    <row r="149" spans="1:9" ht="48" customHeight="1" x14ac:dyDescent="0.2">
      <c r="A149" s="50" t="s">
        <v>946</v>
      </c>
      <c r="B149" s="51"/>
      <c r="C149" s="51"/>
      <c r="D149" s="51"/>
      <c r="E149" s="51"/>
      <c r="F149" s="51"/>
      <c r="G149" s="51"/>
      <c r="H149" s="51"/>
      <c r="I149" s="51"/>
    </row>
    <row r="150" spans="1:9" ht="48" customHeight="1" x14ac:dyDescent="0.2">
      <c r="A150" s="50" t="s">
        <v>947</v>
      </c>
      <c r="B150" s="51"/>
      <c r="C150" s="51"/>
      <c r="D150" s="51"/>
      <c r="E150" s="51"/>
      <c r="F150" s="51"/>
      <c r="G150" s="51"/>
      <c r="H150" s="51"/>
      <c r="I150" s="51"/>
    </row>
    <row r="151" spans="1:9" ht="31.95" customHeight="1" x14ac:dyDescent="0.2">
      <c r="A151" s="50" t="s">
        <v>948</v>
      </c>
      <c r="B151" s="51"/>
      <c r="C151" s="51"/>
      <c r="D151" s="51"/>
      <c r="E151" s="51"/>
      <c r="F151" s="51"/>
      <c r="G151" s="51"/>
      <c r="H151" s="51"/>
      <c r="I151" s="51"/>
    </row>
    <row r="152" spans="1:9" ht="18" customHeight="1" x14ac:dyDescent="0.2">
      <c r="A152" s="52" t="s">
        <v>1450</v>
      </c>
      <c r="B152" s="51"/>
      <c r="C152" s="51"/>
      <c r="D152" s="51"/>
      <c r="E152" s="51"/>
      <c r="F152" s="51"/>
      <c r="G152" s="51"/>
      <c r="H152" s="51"/>
      <c r="I152" s="51"/>
    </row>
    <row r="154" spans="1:9" ht="22.05" customHeight="1" x14ac:dyDescent="0.5">
      <c r="A154" s="13" t="s">
        <v>1451</v>
      </c>
    </row>
    <row r="155" spans="1:9" ht="18" customHeight="1" x14ac:dyDescent="0.2">
      <c r="A155" s="50" t="s">
        <v>1624</v>
      </c>
      <c r="B155" s="51"/>
      <c r="C155" s="51"/>
      <c r="D155" s="51"/>
      <c r="E155" s="51"/>
      <c r="F155" s="51"/>
      <c r="G155" s="51"/>
      <c r="H155" s="51"/>
      <c r="I155" s="51"/>
    </row>
    <row r="156" spans="1:9" ht="31.95" customHeight="1" x14ac:dyDescent="0.2">
      <c r="A156" s="50" t="s">
        <v>1625</v>
      </c>
      <c r="B156" s="51"/>
      <c r="C156" s="51"/>
      <c r="D156" s="51"/>
      <c r="E156" s="51"/>
      <c r="F156" s="51"/>
      <c r="G156" s="51"/>
      <c r="H156" s="51"/>
      <c r="I156" s="51"/>
    </row>
    <row r="157" spans="1:9" ht="18" customHeight="1" x14ac:dyDescent="0.2">
      <c r="A157" s="50" t="s">
        <v>1626</v>
      </c>
      <c r="B157" s="51"/>
      <c r="C157" s="51"/>
      <c r="D157" s="51"/>
      <c r="E157" s="51"/>
      <c r="F157" s="51"/>
      <c r="G157" s="51"/>
      <c r="H157" s="51"/>
      <c r="I157" s="51"/>
    </row>
    <row r="158" spans="1:9" ht="18" customHeight="1" x14ac:dyDescent="0.2">
      <c r="A158" s="50" t="s">
        <v>1627</v>
      </c>
      <c r="B158" s="51"/>
      <c r="C158" s="51"/>
      <c r="D158" s="51"/>
      <c r="E158" s="51"/>
      <c r="F158" s="51"/>
      <c r="G158" s="51"/>
      <c r="H158" s="51"/>
      <c r="I158" s="51"/>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2" t="s">
        <v>1628</v>
      </c>
      <c r="B2" s="51"/>
      <c r="C2" s="51"/>
      <c r="D2" s="51"/>
      <c r="E2" s="51"/>
      <c r="F2" s="51"/>
      <c r="G2" s="51"/>
      <c r="H2" s="51"/>
      <c r="I2" s="51"/>
    </row>
    <row r="4" spans="1:9" ht="22.05" customHeight="1" x14ac:dyDescent="0.5">
      <c r="A4" s="13" t="s">
        <v>1340</v>
      </c>
    </row>
    <row r="5" spans="1:9" ht="30" customHeight="1" x14ac:dyDescent="0.2">
      <c r="A5" s="4" t="s">
        <v>1341</v>
      </c>
      <c r="B5" s="4" t="s">
        <v>1629</v>
      </c>
      <c r="C5" s="4" t="s">
        <v>1630</v>
      </c>
      <c r="D5" s="4" t="s">
        <v>1631</v>
      </c>
      <c r="E5" s="4" t="s">
        <v>1346</v>
      </c>
      <c r="F5" s="4" t="s">
        <v>522</v>
      </c>
    </row>
    <row r="6" spans="1:9" ht="18" x14ac:dyDescent="0.45">
      <c r="A6" s="37">
        <v>2016</v>
      </c>
      <c r="B6" s="9">
        <v>17625</v>
      </c>
      <c r="C6" s="10">
        <v>13.9</v>
      </c>
      <c r="D6" s="38" t="s">
        <v>51</v>
      </c>
      <c r="E6" s="39" t="s">
        <v>1347</v>
      </c>
      <c r="F6" s="22" t="s">
        <v>1632</v>
      </c>
    </row>
    <row r="7" spans="1:9" ht="18" x14ac:dyDescent="0.45">
      <c r="A7" s="37">
        <v>2017</v>
      </c>
      <c r="B7" s="9">
        <v>16789</v>
      </c>
      <c r="C7" s="10">
        <v>13.3</v>
      </c>
      <c r="D7" s="38">
        <f t="shared" ref="D7:D15" si="0">IF(B6="","",B7/B6-1)</f>
        <v>-4.7432624113475153E-2</v>
      </c>
      <c r="E7" s="39" t="s">
        <v>1347</v>
      </c>
      <c r="F7" s="22" t="s">
        <v>1632</v>
      </c>
    </row>
    <row r="8" spans="1:9" ht="18" x14ac:dyDescent="0.45">
      <c r="A8" s="37">
        <v>2018</v>
      </c>
      <c r="B8" s="9">
        <v>15590</v>
      </c>
      <c r="C8" s="10">
        <v>12.3</v>
      </c>
      <c r="D8" s="38">
        <f t="shared" si="0"/>
        <v>-7.1415807969503864E-2</v>
      </c>
      <c r="E8" s="39" t="s">
        <v>1347</v>
      </c>
      <c r="F8" s="22" t="s">
        <v>1632</v>
      </c>
    </row>
    <row r="9" spans="1:9" ht="18" x14ac:dyDescent="0.45">
      <c r="A9" s="37">
        <v>2019</v>
      </c>
      <c r="B9" s="9">
        <v>14460</v>
      </c>
      <c r="C9" s="10">
        <v>11.5</v>
      </c>
      <c r="D9" s="38">
        <f t="shared" si="0"/>
        <v>-7.2482360487492015E-2</v>
      </c>
      <c r="E9" s="39" t="s">
        <v>1347</v>
      </c>
      <c r="F9" s="22" t="s">
        <v>1632</v>
      </c>
    </row>
    <row r="10" spans="1:9" ht="18" x14ac:dyDescent="0.45">
      <c r="A10" s="37">
        <v>2020</v>
      </c>
      <c r="B10" s="9">
        <v>12739</v>
      </c>
      <c r="C10" s="10">
        <v>10.1</v>
      </c>
      <c r="D10" s="38">
        <f t="shared" si="0"/>
        <v>-0.11901798063623792</v>
      </c>
      <c r="E10" s="39" t="s">
        <v>1347</v>
      </c>
      <c r="F10" s="22" t="s">
        <v>1632</v>
      </c>
    </row>
    <row r="11" spans="1:9" ht="18" x14ac:dyDescent="0.45">
      <c r="A11" s="37">
        <v>2021</v>
      </c>
      <c r="B11" s="9">
        <v>11519</v>
      </c>
      <c r="C11" s="10">
        <v>9.1999999999999993</v>
      </c>
      <c r="D11" s="38">
        <f t="shared" si="0"/>
        <v>-9.5768898657665469E-2</v>
      </c>
      <c r="E11" s="39" t="s">
        <v>1347</v>
      </c>
      <c r="F11" s="22" t="s">
        <v>1632</v>
      </c>
    </row>
    <row r="12" spans="1:9" ht="18" x14ac:dyDescent="0.45">
      <c r="A12" s="37">
        <v>2022</v>
      </c>
      <c r="B12" s="9">
        <v>10235</v>
      </c>
      <c r="C12" s="10">
        <v>8.1999999999999993</v>
      </c>
      <c r="D12" s="38">
        <f t="shared" si="0"/>
        <v>-0.11146800937581391</v>
      </c>
      <c r="E12" s="39" t="s">
        <v>1347</v>
      </c>
      <c r="F12" s="22" t="s">
        <v>1632</v>
      </c>
    </row>
    <row r="13" spans="1:9" ht="18" x14ac:dyDescent="0.45">
      <c r="A13" s="37">
        <v>2023</v>
      </c>
      <c r="B13" s="9">
        <v>10096</v>
      </c>
      <c r="C13" s="10">
        <v>8.1</v>
      </c>
      <c r="D13" s="38">
        <f t="shared" si="0"/>
        <v>-1.3580850024425994E-2</v>
      </c>
      <c r="E13" s="39" t="s">
        <v>1347</v>
      </c>
      <c r="F13" s="22" t="s">
        <v>1632</v>
      </c>
    </row>
    <row r="14" spans="1:9" ht="18" x14ac:dyDescent="0.45">
      <c r="A14" s="37">
        <v>2024</v>
      </c>
      <c r="B14" s="9">
        <v>10051</v>
      </c>
      <c r="C14" s="10">
        <v>8.1</v>
      </c>
      <c r="D14" s="38">
        <f t="shared" si="0"/>
        <v>-4.4572107765451507E-3</v>
      </c>
      <c r="E14" s="39" t="s">
        <v>1347</v>
      </c>
      <c r="F14" s="22" t="s">
        <v>1632</v>
      </c>
    </row>
    <row r="15" spans="1:9" ht="18" x14ac:dyDescent="0.45">
      <c r="A15" s="37">
        <v>2025</v>
      </c>
      <c r="B15" s="9">
        <v>9899</v>
      </c>
      <c r="C15" s="10">
        <v>8</v>
      </c>
      <c r="D15" s="38">
        <f t="shared" si="0"/>
        <v>-1.5122873345935761E-2</v>
      </c>
      <c r="E15" s="39" t="s">
        <v>1347</v>
      </c>
      <c r="F15" s="22" t="s">
        <v>1632</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1633</v>
      </c>
      <c r="B20" s="3" t="s">
        <v>1510</v>
      </c>
      <c r="C20" s="9">
        <v>11543</v>
      </c>
      <c r="D20" s="9">
        <v>11145</v>
      </c>
      <c r="E20" s="25">
        <f>C20/D20-1</f>
        <v>3.5711081202332906E-2</v>
      </c>
      <c r="F20" s="39" t="s">
        <v>1356</v>
      </c>
      <c r="G20" s="22" t="s">
        <v>1634</v>
      </c>
    </row>
    <row r="21" spans="1:9" ht="18" customHeight="1" x14ac:dyDescent="0.2">
      <c r="A21" s="52" t="s">
        <v>1635</v>
      </c>
      <c r="B21" s="51"/>
      <c r="C21" s="51"/>
      <c r="D21" s="51"/>
      <c r="E21" s="51"/>
      <c r="F21" s="51"/>
      <c r="G21" s="51"/>
      <c r="H21" s="51"/>
      <c r="I21" s="51"/>
    </row>
    <row r="22" spans="1:9" ht="64.05" customHeight="1" x14ac:dyDescent="0.2">
      <c r="A22" s="52" t="s">
        <v>1636</v>
      </c>
      <c r="B22" s="51"/>
      <c r="C22" s="51"/>
      <c r="D22" s="51"/>
      <c r="E22" s="51"/>
      <c r="F22" s="51"/>
      <c r="G22" s="51"/>
      <c r="H22" s="51"/>
      <c r="I22" s="51"/>
    </row>
    <row r="24" spans="1:9" ht="22.05" customHeight="1" x14ac:dyDescent="0.5">
      <c r="A24" s="13" t="s">
        <v>1365</v>
      </c>
    </row>
    <row r="25" spans="1:9" ht="30" customHeight="1" x14ac:dyDescent="0.2">
      <c r="A25" s="4" t="s">
        <v>1346</v>
      </c>
      <c r="B25" s="4" t="s">
        <v>1629</v>
      </c>
      <c r="C25" s="4" t="s">
        <v>1637</v>
      </c>
      <c r="D25" s="4" t="s">
        <v>1630</v>
      </c>
      <c r="E25" s="4" t="s">
        <v>522</v>
      </c>
    </row>
    <row r="26" spans="1:9" ht="18" x14ac:dyDescent="0.45">
      <c r="A26" s="3" t="s">
        <v>1638</v>
      </c>
      <c r="B26" s="9">
        <v>9899</v>
      </c>
      <c r="C26" s="10">
        <v>100</v>
      </c>
      <c r="D26" s="10">
        <v>8</v>
      </c>
      <c r="E26" s="22" t="s">
        <v>1632</v>
      </c>
    </row>
    <row r="27" spans="1:9" ht="18" x14ac:dyDescent="0.45">
      <c r="A27" s="3" t="s">
        <v>1639</v>
      </c>
      <c r="B27" s="9">
        <v>16</v>
      </c>
      <c r="C27" s="10">
        <v>0.2</v>
      </c>
      <c r="D27" s="10">
        <v>0.4</v>
      </c>
      <c r="E27" s="22" t="s">
        <v>1632</v>
      </c>
    </row>
    <row r="28" spans="1:9" ht="18" x14ac:dyDescent="0.45">
      <c r="A28" s="3" t="s">
        <v>1640</v>
      </c>
      <c r="B28" s="9">
        <v>9</v>
      </c>
      <c r="C28" s="10">
        <v>0.1</v>
      </c>
      <c r="D28" s="10">
        <v>0.2</v>
      </c>
      <c r="E28" s="22" t="s">
        <v>1632</v>
      </c>
    </row>
    <row r="29" spans="1:9" ht="18" x14ac:dyDescent="0.45">
      <c r="A29" s="3" t="s">
        <v>1641</v>
      </c>
      <c r="B29" s="9">
        <v>6</v>
      </c>
      <c r="C29" s="10">
        <v>0.1</v>
      </c>
      <c r="D29" s="10">
        <v>0.1</v>
      </c>
      <c r="E29" s="22" t="s">
        <v>1632</v>
      </c>
    </row>
    <row r="30" spans="1:9" ht="18" x14ac:dyDescent="0.45">
      <c r="A30" s="3" t="s">
        <v>1642</v>
      </c>
      <c r="B30" s="9">
        <v>115</v>
      </c>
      <c r="C30" s="10">
        <v>1.2</v>
      </c>
      <c r="D30" s="10">
        <v>2.1</v>
      </c>
      <c r="E30" s="22" t="s">
        <v>1632</v>
      </c>
    </row>
    <row r="31" spans="1:9" ht="18" x14ac:dyDescent="0.45">
      <c r="A31" s="3" t="s">
        <v>1643</v>
      </c>
      <c r="B31" s="9">
        <v>1627</v>
      </c>
      <c r="C31" s="10">
        <v>16.399999999999999</v>
      </c>
      <c r="D31" s="10">
        <v>12.8</v>
      </c>
      <c r="E31" s="22" t="s">
        <v>1632</v>
      </c>
    </row>
    <row r="32" spans="1:9" ht="18" x14ac:dyDescent="0.45">
      <c r="A32" s="3" t="s">
        <v>1644</v>
      </c>
      <c r="B32" s="9">
        <v>574</v>
      </c>
      <c r="C32" s="10">
        <v>5.8</v>
      </c>
      <c r="D32" s="10">
        <v>4.4000000000000004</v>
      </c>
      <c r="E32" s="22" t="s">
        <v>1632</v>
      </c>
    </row>
    <row r="33" spans="1:5" ht="18" x14ac:dyDescent="0.45">
      <c r="A33" s="3" t="s">
        <v>1645</v>
      </c>
      <c r="B33" s="9">
        <v>457</v>
      </c>
      <c r="C33" s="10">
        <v>4.5999999999999996</v>
      </c>
      <c r="D33" s="10">
        <v>2.9</v>
      </c>
      <c r="E33" s="22" t="s">
        <v>1632</v>
      </c>
    </row>
    <row r="34" spans="1:5" ht="18" x14ac:dyDescent="0.45">
      <c r="A34" s="3" t="s">
        <v>1646</v>
      </c>
      <c r="B34" s="9">
        <v>657</v>
      </c>
      <c r="C34" s="10">
        <v>6.6</v>
      </c>
      <c r="D34" s="10">
        <v>3.6</v>
      </c>
      <c r="E34" s="22" t="s">
        <v>1632</v>
      </c>
    </row>
    <row r="35" spans="1:5" ht="18" x14ac:dyDescent="0.45">
      <c r="A35" s="3" t="s">
        <v>1647</v>
      </c>
      <c r="B35" s="9">
        <v>761</v>
      </c>
      <c r="C35" s="10">
        <v>7.7</v>
      </c>
      <c r="D35" s="10">
        <v>5.0999999999999996</v>
      </c>
      <c r="E35" s="22" t="s">
        <v>1632</v>
      </c>
    </row>
    <row r="36" spans="1:5" ht="18" x14ac:dyDescent="0.45">
      <c r="A36" s="3" t="s">
        <v>1648</v>
      </c>
      <c r="B36" s="9">
        <v>1640</v>
      </c>
      <c r="C36" s="10">
        <v>16.600000000000001</v>
      </c>
      <c r="D36" s="10">
        <v>10.199999999999999</v>
      </c>
      <c r="E36" s="22" t="s">
        <v>1632</v>
      </c>
    </row>
    <row r="37" spans="1:5" ht="18" x14ac:dyDescent="0.45">
      <c r="A37" s="3" t="s">
        <v>1649</v>
      </c>
      <c r="B37" s="9">
        <v>2705</v>
      </c>
      <c r="C37" s="10">
        <v>27.3</v>
      </c>
      <c r="D37" s="10">
        <v>27.1</v>
      </c>
      <c r="E37" s="22" t="s">
        <v>1632</v>
      </c>
    </row>
    <row r="38" spans="1:5" ht="18" x14ac:dyDescent="0.45">
      <c r="A38" s="3" t="s">
        <v>1650</v>
      </c>
      <c r="B38" s="9">
        <v>1332</v>
      </c>
      <c r="C38" s="10">
        <v>13.5</v>
      </c>
      <c r="D38" s="10">
        <v>47.1</v>
      </c>
      <c r="E38" s="22" t="s">
        <v>1632</v>
      </c>
    </row>
    <row r="40" spans="1:5" ht="22.05" customHeight="1" x14ac:dyDescent="0.5">
      <c r="A40" s="13" t="s">
        <v>1651</v>
      </c>
    </row>
    <row r="41" spans="1:5" ht="30" customHeight="1" x14ac:dyDescent="0.2">
      <c r="A41" s="4" t="s">
        <v>1346</v>
      </c>
      <c r="B41" s="4" t="s">
        <v>1382</v>
      </c>
      <c r="C41" s="4" t="s">
        <v>1630</v>
      </c>
      <c r="D41" s="4" t="s">
        <v>1523</v>
      </c>
      <c r="E41" s="4" t="s">
        <v>522</v>
      </c>
    </row>
    <row r="42" spans="1:5" ht="18" x14ac:dyDescent="0.45">
      <c r="A42" s="3" t="s">
        <v>1388</v>
      </c>
      <c r="B42" s="40">
        <v>1</v>
      </c>
      <c r="C42" s="10">
        <v>13.4</v>
      </c>
      <c r="D42" s="9">
        <v>1172</v>
      </c>
      <c r="E42" s="22" t="s">
        <v>1632</v>
      </c>
    </row>
    <row r="43" spans="1:5" ht="18" x14ac:dyDescent="0.45">
      <c r="A43" s="3" t="s">
        <v>1652</v>
      </c>
      <c r="B43" s="40">
        <v>2</v>
      </c>
      <c r="C43" s="10">
        <v>10.5</v>
      </c>
      <c r="D43" s="9">
        <v>71</v>
      </c>
      <c r="E43" s="22" t="s">
        <v>1632</v>
      </c>
    </row>
    <row r="44" spans="1:5" ht="18" x14ac:dyDescent="0.45">
      <c r="A44" s="3" t="s">
        <v>1653</v>
      </c>
      <c r="B44" s="40">
        <v>3</v>
      </c>
      <c r="C44" s="10">
        <v>10.4</v>
      </c>
      <c r="D44" s="9">
        <v>196</v>
      </c>
      <c r="E44" s="22" t="s">
        <v>1632</v>
      </c>
    </row>
    <row r="45" spans="1:5" ht="18" x14ac:dyDescent="0.45">
      <c r="A45" s="3" t="s">
        <v>1609</v>
      </c>
      <c r="B45" s="40">
        <v>4</v>
      </c>
      <c r="C45" s="10">
        <v>10.3</v>
      </c>
      <c r="D45" s="9">
        <v>156</v>
      </c>
      <c r="E45" s="22" t="s">
        <v>1632</v>
      </c>
    </row>
    <row r="46" spans="1:5" ht="18" x14ac:dyDescent="0.45">
      <c r="A46" s="3" t="s">
        <v>1574</v>
      </c>
      <c r="B46" s="40">
        <v>5</v>
      </c>
      <c r="C46" s="10">
        <v>10.1</v>
      </c>
      <c r="D46" s="9">
        <v>536</v>
      </c>
      <c r="E46" s="22" t="s">
        <v>1632</v>
      </c>
    </row>
    <row r="48" spans="1:5" ht="22.05" customHeight="1" x14ac:dyDescent="0.5">
      <c r="A48" s="13" t="s">
        <v>1654</v>
      </c>
    </row>
    <row r="49" spans="1:4" ht="30" customHeight="1" x14ac:dyDescent="0.2">
      <c r="A49" s="4" t="s">
        <v>1346</v>
      </c>
      <c r="B49" s="4" t="s">
        <v>1523</v>
      </c>
      <c r="C49" s="4" t="s">
        <v>1655</v>
      </c>
      <c r="D49" s="4" t="s">
        <v>522</v>
      </c>
    </row>
    <row r="50" spans="1:4" ht="30" customHeight="1" x14ac:dyDescent="0.45">
      <c r="A50" s="3" t="s">
        <v>1656</v>
      </c>
      <c r="B50" s="9">
        <v>2352</v>
      </c>
      <c r="C50" s="10">
        <v>23.8</v>
      </c>
      <c r="D50" s="22" t="s">
        <v>1632</v>
      </c>
    </row>
    <row r="51" spans="1:4" ht="30" customHeight="1" x14ac:dyDescent="0.45">
      <c r="A51" s="3" t="s">
        <v>1657</v>
      </c>
      <c r="B51" s="9">
        <v>1470</v>
      </c>
      <c r="C51" s="10">
        <v>62.5</v>
      </c>
      <c r="D51" s="22" t="s">
        <v>1632</v>
      </c>
    </row>
    <row r="52" spans="1:4" ht="18" x14ac:dyDescent="0.45">
      <c r="A52" s="3" t="s">
        <v>1658</v>
      </c>
      <c r="B52" s="9">
        <v>7400</v>
      </c>
      <c r="C52" s="42" t="s">
        <v>1525</v>
      </c>
      <c r="D52" s="22" t="s">
        <v>1632</v>
      </c>
    </row>
    <row r="54" spans="1:4" ht="22.05" customHeight="1" x14ac:dyDescent="0.5">
      <c r="A54" s="13" t="s">
        <v>1659</v>
      </c>
    </row>
    <row r="55" spans="1:4" ht="30" customHeight="1" x14ac:dyDescent="0.2">
      <c r="A55" s="4" t="s">
        <v>1346</v>
      </c>
      <c r="B55" s="4" t="s">
        <v>1523</v>
      </c>
      <c r="C55" s="4" t="s">
        <v>1660</v>
      </c>
      <c r="D55" s="4" t="s">
        <v>522</v>
      </c>
    </row>
    <row r="56" spans="1:4" ht="18" x14ac:dyDescent="0.45">
      <c r="A56" s="3" t="s">
        <v>1420</v>
      </c>
      <c r="B56" s="9">
        <v>1313</v>
      </c>
      <c r="C56" s="10">
        <v>11.4</v>
      </c>
      <c r="D56" s="22" t="s">
        <v>1632</v>
      </c>
    </row>
    <row r="57" spans="1:4" ht="18" x14ac:dyDescent="0.45">
      <c r="A57" s="3" t="s">
        <v>1421</v>
      </c>
      <c r="B57" s="9">
        <v>1214</v>
      </c>
      <c r="C57" s="10">
        <v>11.9</v>
      </c>
      <c r="D57" s="22" t="s">
        <v>1632</v>
      </c>
    </row>
    <row r="58" spans="1:4" ht="18" x14ac:dyDescent="0.45">
      <c r="A58" s="3" t="s">
        <v>1422</v>
      </c>
      <c r="B58" s="9">
        <v>1619</v>
      </c>
      <c r="C58" s="10">
        <v>16</v>
      </c>
      <c r="D58" s="22" t="s">
        <v>1632</v>
      </c>
    </row>
    <row r="59" spans="1:4" ht="18" x14ac:dyDescent="0.45">
      <c r="A59" s="3" t="s">
        <v>1423</v>
      </c>
      <c r="B59" s="9">
        <v>1980</v>
      </c>
      <c r="C59" s="10">
        <v>19.7</v>
      </c>
      <c r="D59" s="22" t="s">
        <v>1632</v>
      </c>
    </row>
    <row r="60" spans="1:4" ht="18" x14ac:dyDescent="0.45">
      <c r="A60" s="3" t="s">
        <v>1225</v>
      </c>
      <c r="B60" s="9">
        <v>2352</v>
      </c>
      <c r="C60" s="10">
        <v>23.8</v>
      </c>
      <c r="D60" s="22" t="s">
        <v>1632</v>
      </c>
    </row>
    <row r="62" spans="1:4" ht="22.05" customHeight="1" x14ac:dyDescent="0.5">
      <c r="A62" s="13" t="s">
        <v>1661</v>
      </c>
    </row>
    <row r="63" spans="1:4" ht="30" customHeight="1" x14ac:dyDescent="0.2">
      <c r="A63" s="4" t="s">
        <v>1346</v>
      </c>
      <c r="B63" s="4" t="s">
        <v>1523</v>
      </c>
      <c r="C63" s="4" t="s">
        <v>1662</v>
      </c>
      <c r="D63" s="4" t="s">
        <v>522</v>
      </c>
    </row>
    <row r="64" spans="1:4" ht="18" x14ac:dyDescent="0.45">
      <c r="A64" s="3" t="s">
        <v>1639</v>
      </c>
      <c r="B64" s="9">
        <v>4</v>
      </c>
      <c r="C64" s="10">
        <v>25</v>
      </c>
      <c r="D64" s="22" t="s">
        <v>1632</v>
      </c>
    </row>
    <row r="65" spans="1:4" ht="18" x14ac:dyDescent="0.45">
      <c r="A65" s="3" t="s">
        <v>1640</v>
      </c>
      <c r="B65" s="9">
        <v>2</v>
      </c>
      <c r="C65" s="10">
        <v>22.2</v>
      </c>
      <c r="D65" s="22" t="s">
        <v>1632</v>
      </c>
    </row>
    <row r="66" spans="1:4" ht="18" x14ac:dyDescent="0.45">
      <c r="A66" s="3" t="s">
        <v>1641</v>
      </c>
      <c r="B66" s="9">
        <v>4</v>
      </c>
      <c r="C66" s="10">
        <v>66.7</v>
      </c>
      <c r="D66" s="22" t="s">
        <v>1632</v>
      </c>
    </row>
    <row r="67" spans="1:4" ht="18" x14ac:dyDescent="0.45">
      <c r="A67" s="3" t="s">
        <v>1642</v>
      </c>
      <c r="B67" s="9">
        <v>99</v>
      </c>
      <c r="C67" s="10">
        <v>86.1</v>
      </c>
      <c r="D67" s="22" t="s">
        <v>1632</v>
      </c>
    </row>
    <row r="68" spans="1:4" ht="18" x14ac:dyDescent="0.45">
      <c r="A68" s="3" t="s">
        <v>1643</v>
      </c>
      <c r="B68" s="9">
        <v>1483</v>
      </c>
      <c r="C68" s="10">
        <v>91.1</v>
      </c>
      <c r="D68" s="22" t="s">
        <v>1632</v>
      </c>
    </row>
    <row r="69" spans="1:4" ht="18" x14ac:dyDescent="0.45">
      <c r="A69" s="3" t="s">
        <v>1644</v>
      </c>
      <c r="B69" s="9">
        <v>421</v>
      </c>
      <c r="C69" s="10">
        <v>73.3</v>
      </c>
      <c r="D69" s="22" t="s">
        <v>1632</v>
      </c>
    </row>
    <row r="70" spans="1:4" ht="18" x14ac:dyDescent="0.45">
      <c r="A70" s="3" t="s">
        <v>1645</v>
      </c>
      <c r="B70" s="9">
        <v>143</v>
      </c>
      <c r="C70" s="10">
        <v>31.3</v>
      </c>
      <c r="D70" s="22" t="s">
        <v>1632</v>
      </c>
    </row>
    <row r="71" spans="1:4" ht="18" x14ac:dyDescent="0.45">
      <c r="A71" s="3" t="s">
        <v>1646</v>
      </c>
      <c r="B71" s="9">
        <v>86</v>
      </c>
      <c r="C71" s="10">
        <v>13.1</v>
      </c>
      <c r="D71" s="22" t="s">
        <v>1632</v>
      </c>
    </row>
    <row r="72" spans="1:4" ht="18" x14ac:dyDescent="0.45">
      <c r="A72" s="3" t="s">
        <v>1647</v>
      </c>
      <c r="B72" s="9">
        <v>56</v>
      </c>
      <c r="C72" s="10">
        <v>7.4</v>
      </c>
      <c r="D72" s="22" t="s">
        <v>1632</v>
      </c>
    </row>
    <row r="73" spans="1:4" ht="18" x14ac:dyDescent="0.45">
      <c r="A73" s="3" t="s">
        <v>1648</v>
      </c>
      <c r="B73" s="9">
        <v>24</v>
      </c>
      <c r="C73" s="10">
        <v>1.5</v>
      </c>
      <c r="D73" s="22" t="s">
        <v>1632</v>
      </c>
    </row>
    <row r="74" spans="1:4" ht="18" x14ac:dyDescent="0.45">
      <c r="A74" s="3" t="s">
        <v>1663</v>
      </c>
      <c r="B74" s="9">
        <v>30</v>
      </c>
      <c r="C74" s="10">
        <v>0.7</v>
      </c>
      <c r="D74" s="22" t="s">
        <v>1632</v>
      </c>
    </row>
    <row r="76" spans="1:4" ht="22.05" customHeight="1" x14ac:dyDescent="0.5">
      <c r="A76" s="13" t="s">
        <v>1664</v>
      </c>
    </row>
    <row r="77" spans="1:4" ht="30" customHeight="1" x14ac:dyDescent="0.2">
      <c r="A77" s="4" t="s">
        <v>1346</v>
      </c>
      <c r="B77" s="4" t="s">
        <v>1629</v>
      </c>
      <c r="C77" s="4" t="s">
        <v>1655</v>
      </c>
      <c r="D77" s="4" t="s">
        <v>522</v>
      </c>
    </row>
    <row r="78" spans="1:4" ht="18" x14ac:dyDescent="0.45">
      <c r="A78" s="3" t="s">
        <v>1649</v>
      </c>
      <c r="B78" s="9">
        <v>2705</v>
      </c>
      <c r="C78" s="10">
        <v>27.3</v>
      </c>
      <c r="D78" s="22" t="s">
        <v>1632</v>
      </c>
    </row>
    <row r="79" spans="1:4" ht="18" x14ac:dyDescent="0.45">
      <c r="A79" s="3" t="s">
        <v>1650</v>
      </c>
      <c r="B79" s="9">
        <v>1332</v>
      </c>
      <c r="C79" s="10">
        <v>13.5</v>
      </c>
      <c r="D79" s="22" t="s">
        <v>1632</v>
      </c>
    </row>
    <row r="80" spans="1:4" ht="30" customHeight="1" x14ac:dyDescent="0.45">
      <c r="A80" s="3" t="s">
        <v>1665</v>
      </c>
      <c r="B80" s="9">
        <v>4037</v>
      </c>
      <c r="C80" s="10">
        <v>40.799999999999997</v>
      </c>
      <c r="D80" s="22" t="s">
        <v>1632</v>
      </c>
    </row>
    <row r="81" spans="1:4" ht="30" customHeight="1" x14ac:dyDescent="0.45">
      <c r="A81" s="3" t="s">
        <v>1666</v>
      </c>
      <c r="B81" s="9">
        <v>5677</v>
      </c>
      <c r="C81" s="10">
        <v>57.3</v>
      </c>
      <c r="D81" s="22" t="s">
        <v>1632</v>
      </c>
    </row>
    <row r="83" spans="1:4" ht="22.05" customHeight="1" x14ac:dyDescent="0.5">
      <c r="A83" s="13" t="s">
        <v>1667</v>
      </c>
    </row>
    <row r="84" spans="1:4" ht="30" customHeight="1" x14ac:dyDescent="0.2">
      <c r="A84" s="4" t="s">
        <v>1346</v>
      </c>
      <c r="B84" s="4" t="s">
        <v>1629</v>
      </c>
      <c r="C84" s="4" t="s">
        <v>1630</v>
      </c>
      <c r="D84" s="4" t="s">
        <v>522</v>
      </c>
    </row>
    <row r="85" spans="1:4" ht="18" x14ac:dyDescent="0.45">
      <c r="A85" s="3" t="s">
        <v>1668</v>
      </c>
      <c r="B85" s="9">
        <v>35</v>
      </c>
      <c r="C85" s="10">
        <v>4.5</v>
      </c>
      <c r="D85" s="22" t="s">
        <v>1632</v>
      </c>
    </row>
    <row r="86" spans="1:4" ht="18" x14ac:dyDescent="0.45">
      <c r="A86" s="3" t="s">
        <v>1669</v>
      </c>
      <c r="B86" s="9">
        <v>52</v>
      </c>
      <c r="C86" s="10">
        <v>4.5999999999999996</v>
      </c>
      <c r="D86" s="22" t="s">
        <v>1632</v>
      </c>
    </row>
    <row r="87" spans="1:4" ht="18" x14ac:dyDescent="0.45">
      <c r="A87" s="3" t="s">
        <v>1670</v>
      </c>
      <c r="B87" s="9">
        <v>97</v>
      </c>
      <c r="C87" s="10">
        <v>4.7</v>
      </c>
      <c r="D87" s="22" t="s">
        <v>1632</v>
      </c>
    </row>
    <row r="88" spans="1:4" ht="18" x14ac:dyDescent="0.45">
      <c r="A88" s="3" t="s">
        <v>1671</v>
      </c>
      <c r="B88" s="9">
        <v>42</v>
      </c>
      <c r="C88" s="10">
        <v>4.8</v>
      </c>
      <c r="D88" s="22" t="s">
        <v>1632</v>
      </c>
    </row>
    <row r="89" spans="1:4" ht="18" x14ac:dyDescent="0.45">
      <c r="A89" s="3" t="s">
        <v>1672</v>
      </c>
      <c r="B89" s="9">
        <v>112</v>
      </c>
      <c r="C89" s="10">
        <v>5</v>
      </c>
      <c r="D89" s="22" t="s">
        <v>1632</v>
      </c>
    </row>
    <row r="91" spans="1:4" ht="22.05" customHeight="1" x14ac:dyDescent="0.5">
      <c r="A91" s="13" t="s">
        <v>1673</v>
      </c>
    </row>
    <row r="92" spans="1:4" ht="30" customHeight="1" x14ac:dyDescent="0.2">
      <c r="A92" s="4" t="s">
        <v>1346</v>
      </c>
      <c r="B92" s="4" t="s">
        <v>1674</v>
      </c>
      <c r="C92" s="4" t="s">
        <v>1675</v>
      </c>
      <c r="D92" s="4" t="s">
        <v>522</v>
      </c>
    </row>
    <row r="93" spans="1:4" ht="18" x14ac:dyDescent="0.45">
      <c r="A93" s="3" t="s">
        <v>1536</v>
      </c>
      <c r="B93" s="9">
        <v>1893</v>
      </c>
      <c r="C93" s="10">
        <v>1.5</v>
      </c>
      <c r="D93" s="22" t="s">
        <v>1632</v>
      </c>
    </row>
    <row r="94" spans="1:4" ht="18" x14ac:dyDescent="0.45">
      <c r="A94" s="3" t="s">
        <v>1537</v>
      </c>
      <c r="B94" s="9">
        <v>2306</v>
      </c>
      <c r="C94" s="10">
        <v>1.9</v>
      </c>
      <c r="D94" s="22" t="s">
        <v>1632</v>
      </c>
    </row>
    <row r="95" spans="1:4" ht="18" x14ac:dyDescent="0.45">
      <c r="A95" s="3" t="s">
        <v>1538</v>
      </c>
      <c r="B95" s="9">
        <v>2204</v>
      </c>
      <c r="C95" s="10">
        <v>1.8</v>
      </c>
      <c r="D95" s="22" t="s">
        <v>1632</v>
      </c>
    </row>
    <row r="96" spans="1:4" ht="18" x14ac:dyDescent="0.45">
      <c r="A96" s="3" t="s">
        <v>1418</v>
      </c>
      <c r="B96" s="9">
        <v>2087</v>
      </c>
      <c r="C96" s="10">
        <v>1.7</v>
      </c>
      <c r="D96" s="22" t="s">
        <v>1632</v>
      </c>
    </row>
    <row r="97" spans="1:9" ht="18" x14ac:dyDescent="0.45">
      <c r="A97" s="3" t="s">
        <v>1419</v>
      </c>
      <c r="B97" s="9">
        <v>1909</v>
      </c>
      <c r="C97" s="10">
        <v>1.5</v>
      </c>
      <c r="D97" s="22" t="s">
        <v>1632</v>
      </c>
    </row>
    <row r="98" spans="1:9" ht="18" x14ac:dyDescent="0.45">
      <c r="A98" s="3" t="s">
        <v>1420</v>
      </c>
      <c r="B98" s="9">
        <v>1845</v>
      </c>
      <c r="C98" s="10">
        <v>1.5</v>
      </c>
      <c r="D98" s="22" t="s">
        <v>1632</v>
      </c>
    </row>
    <row r="99" spans="1:9" ht="18" x14ac:dyDescent="0.45">
      <c r="A99" s="3" t="s">
        <v>1421</v>
      </c>
      <c r="B99" s="9">
        <v>1664</v>
      </c>
      <c r="C99" s="10">
        <v>1.4</v>
      </c>
      <c r="D99" s="22" t="s">
        <v>1632</v>
      </c>
    </row>
    <row r="100" spans="1:9" ht="18" x14ac:dyDescent="0.45">
      <c r="A100" s="3" t="s">
        <v>1422</v>
      </c>
      <c r="B100" s="9">
        <v>1587</v>
      </c>
      <c r="C100" s="10">
        <v>1.3</v>
      </c>
      <c r="D100" s="22" t="s">
        <v>1632</v>
      </c>
    </row>
    <row r="101" spans="1:9" ht="18" x14ac:dyDescent="0.45">
      <c r="A101" s="3" t="s">
        <v>1423</v>
      </c>
      <c r="B101" s="9">
        <v>1462</v>
      </c>
      <c r="C101" s="10">
        <v>1.2</v>
      </c>
      <c r="D101" s="22" t="s">
        <v>1632</v>
      </c>
    </row>
    <row r="102" spans="1:9" ht="18" x14ac:dyDescent="0.45">
      <c r="A102" s="3" t="s">
        <v>1225</v>
      </c>
      <c r="B102" s="9">
        <v>1474</v>
      </c>
      <c r="C102" s="10">
        <v>1.2</v>
      </c>
      <c r="D102" s="22" t="s">
        <v>1632</v>
      </c>
    </row>
    <row r="104" spans="1:9" ht="22.05" customHeight="1" x14ac:dyDescent="0.5">
      <c r="A104" s="13" t="s">
        <v>1676</v>
      </c>
    </row>
    <row r="105" spans="1:9" ht="30" customHeight="1" x14ac:dyDescent="0.2">
      <c r="A105" s="4" t="s">
        <v>1346</v>
      </c>
      <c r="B105" s="4" t="s">
        <v>1638</v>
      </c>
      <c r="C105" s="4" t="s">
        <v>1361</v>
      </c>
      <c r="D105" s="4" t="s">
        <v>1362</v>
      </c>
      <c r="E105" s="4" t="s">
        <v>522</v>
      </c>
    </row>
    <row r="106" spans="1:9" ht="18" x14ac:dyDescent="0.45">
      <c r="A106" s="3" t="s">
        <v>1674</v>
      </c>
      <c r="B106" s="9">
        <v>1474</v>
      </c>
      <c r="C106" s="9">
        <v>866</v>
      </c>
      <c r="D106" s="9">
        <v>608</v>
      </c>
      <c r="E106" s="22" t="s">
        <v>1677</v>
      </c>
    </row>
    <row r="108" spans="1:9" ht="22.05" customHeight="1" x14ac:dyDescent="0.5">
      <c r="A108" s="13" t="s">
        <v>1438</v>
      </c>
    </row>
    <row r="109" spans="1:9" ht="48" customHeight="1" x14ac:dyDescent="0.2">
      <c r="A109" s="50" t="s">
        <v>1678</v>
      </c>
      <c r="B109" s="51"/>
      <c r="C109" s="51"/>
      <c r="D109" s="51"/>
      <c r="E109" s="51"/>
      <c r="F109" s="51"/>
      <c r="G109" s="51"/>
      <c r="H109" s="51"/>
      <c r="I109" s="51"/>
    </row>
    <row r="110" spans="1:9" ht="31.95" customHeight="1" x14ac:dyDescent="0.2">
      <c r="A110" s="50" t="s">
        <v>1679</v>
      </c>
      <c r="B110" s="51"/>
      <c r="C110" s="51"/>
      <c r="D110" s="51"/>
      <c r="E110" s="51"/>
      <c r="F110" s="51"/>
      <c r="G110" s="51"/>
      <c r="H110" s="51"/>
      <c r="I110" s="51"/>
    </row>
    <row r="111" spans="1:9" ht="31.95" customHeight="1" x14ac:dyDescent="0.2">
      <c r="A111" s="50" t="s">
        <v>1680</v>
      </c>
      <c r="B111" s="51"/>
      <c r="C111" s="51"/>
      <c r="D111" s="51"/>
      <c r="E111" s="51"/>
      <c r="F111" s="51"/>
      <c r="G111" s="51"/>
      <c r="H111" s="51"/>
      <c r="I111" s="51"/>
    </row>
    <row r="112" spans="1:9" ht="31.95" customHeight="1" x14ac:dyDescent="0.2">
      <c r="A112" s="50" t="s">
        <v>1681</v>
      </c>
      <c r="B112" s="51"/>
      <c r="C112" s="51"/>
      <c r="D112" s="51"/>
      <c r="E112" s="51"/>
      <c r="F112" s="51"/>
      <c r="G112" s="51"/>
      <c r="H112" s="51"/>
      <c r="I112" s="51"/>
    </row>
    <row r="113" spans="1:9" ht="31.95" customHeight="1" x14ac:dyDescent="0.2">
      <c r="A113" s="50" t="s">
        <v>1682</v>
      </c>
      <c r="B113" s="51"/>
      <c r="C113" s="51"/>
      <c r="D113" s="51"/>
      <c r="E113" s="51"/>
      <c r="F113" s="51"/>
      <c r="G113" s="51"/>
      <c r="H113" s="51"/>
      <c r="I113" s="51"/>
    </row>
    <row r="115" spans="1:9" ht="22.05" customHeight="1" x14ac:dyDescent="0.5">
      <c r="A115" s="13" t="s">
        <v>1444</v>
      </c>
    </row>
    <row r="116" spans="1:9" ht="48" customHeight="1" x14ac:dyDescent="0.2">
      <c r="A116" s="50" t="s">
        <v>1683</v>
      </c>
      <c r="B116" s="51"/>
      <c r="C116" s="51"/>
      <c r="D116" s="51"/>
      <c r="E116" s="51"/>
      <c r="F116" s="51"/>
      <c r="G116" s="51"/>
      <c r="H116" s="51"/>
      <c r="I116" s="51"/>
    </row>
    <row r="117" spans="1:9" ht="31.95" customHeight="1" x14ac:dyDescent="0.2">
      <c r="A117" s="50" t="s">
        <v>1684</v>
      </c>
      <c r="B117" s="51"/>
      <c r="C117" s="51"/>
      <c r="D117" s="51"/>
      <c r="E117" s="51"/>
      <c r="F117" s="51"/>
      <c r="G117" s="51"/>
      <c r="H117" s="51"/>
      <c r="I117" s="51"/>
    </row>
    <row r="118" spans="1:9" ht="64.05" customHeight="1" x14ac:dyDescent="0.2">
      <c r="A118" s="50" t="s">
        <v>1685</v>
      </c>
      <c r="B118" s="51"/>
      <c r="C118" s="51"/>
      <c r="D118" s="51"/>
      <c r="E118" s="51"/>
      <c r="F118" s="51"/>
      <c r="G118" s="51"/>
      <c r="H118" s="51"/>
      <c r="I118" s="51"/>
    </row>
    <row r="119" spans="1:9" ht="31.95" customHeight="1" x14ac:dyDescent="0.2">
      <c r="A119" s="50" t="s">
        <v>1686</v>
      </c>
      <c r="B119" s="51"/>
      <c r="C119" s="51"/>
      <c r="D119" s="51"/>
      <c r="E119" s="51"/>
      <c r="F119" s="51"/>
      <c r="G119" s="51"/>
      <c r="H119" s="51"/>
      <c r="I119" s="51"/>
    </row>
    <row r="121" spans="1:9" ht="22.05" customHeight="1" x14ac:dyDescent="0.5">
      <c r="A121" s="13" t="s">
        <v>1449</v>
      </c>
    </row>
    <row r="122" spans="1:9" ht="31.95" customHeight="1" x14ac:dyDescent="0.2">
      <c r="A122" s="50" t="s">
        <v>949</v>
      </c>
      <c r="B122" s="51"/>
      <c r="C122" s="51"/>
      <c r="D122" s="51"/>
      <c r="E122" s="51"/>
      <c r="F122" s="51"/>
      <c r="G122" s="51"/>
      <c r="H122" s="51"/>
      <c r="I122" s="51"/>
    </row>
    <row r="123" spans="1:9" ht="31.95" customHeight="1" x14ac:dyDescent="0.2">
      <c r="A123" s="50" t="s">
        <v>950</v>
      </c>
      <c r="B123" s="51"/>
      <c r="C123" s="51"/>
      <c r="D123" s="51"/>
      <c r="E123" s="51"/>
      <c r="F123" s="51"/>
      <c r="G123" s="51"/>
      <c r="H123" s="51"/>
      <c r="I123" s="51"/>
    </row>
    <row r="124" spans="1:9" ht="48" customHeight="1" x14ac:dyDescent="0.2">
      <c r="A124" s="50" t="s">
        <v>951</v>
      </c>
      <c r="B124" s="51"/>
      <c r="C124" s="51"/>
      <c r="D124" s="51"/>
      <c r="E124" s="51"/>
      <c r="F124" s="51"/>
      <c r="G124" s="51"/>
      <c r="H124" s="51"/>
      <c r="I124" s="51"/>
    </row>
    <row r="125" spans="1:9" ht="18" customHeight="1" x14ac:dyDescent="0.2">
      <c r="A125" s="50" t="s">
        <v>952</v>
      </c>
      <c r="B125" s="51"/>
      <c r="C125" s="51"/>
      <c r="D125" s="51"/>
      <c r="E125" s="51"/>
      <c r="F125" s="51"/>
      <c r="G125" s="51"/>
      <c r="H125" s="51"/>
      <c r="I125" s="51"/>
    </row>
    <row r="126" spans="1:9" ht="31.95" customHeight="1" x14ac:dyDescent="0.2">
      <c r="A126" s="50" t="s">
        <v>953</v>
      </c>
      <c r="B126" s="51"/>
      <c r="C126" s="51"/>
      <c r="D126" s="51"/>
      <c r="E126" s="51"/>
      <c r="F126" s="51"/>
      <c r="G126" s="51"/>
      <c r="H126" s="51"/>
      <c r="I126" s="51"/>
    </row>
    <row r="127" spans="1:9" ht="31.95" customHeight="1" x14ac:dyDescent="0.2">
      <c r="A127" s="50" t="s">
        <v>954</v>
      </c>
      <c r="B127" s="51"/>
      <c r="C127" s="51"/>
      <c r="D127" s="51"/>
      <c r="E127" s="51"/>
      <c r="F127" s="51"/>
      <c r="G127" s="51"/>
      <c r="H127" s="51"/>
      <c r="I127" s="51"/>
    </row>
    <row r="128" spans="1:9" ht="31.95" customHeight="1" x14ac:dyDescent="0.2">
      <c r="A128" s="50" t="s">
        <v>955</v>
      </c>
      <c r="B128" s="51"/>
      <c r="C128" s="51"/>
      <c r="D128" s="51"/>
      <c r="E128" s="51"/>
      <c r="F128" s="51"/>
      <c r="G128" s="51"/>
      <c r="H128" s="51"/>
      <c r="I128" s="51"/>
    </row>
    <row r="129" spans="1:9" ht="48" customHeight="1" x14ac:dyDescent="0.2">
      <c r="A129" s="50" t="s">
        <v>956</v>
      </c>
      <c r="B129" s="51"/>
      <c r="C129" s="51"/>
      <c r="D129" s="51"/>
      <c r="E129" s="51"/>
      <c r="F129" s="51"/>
      <c r="G129" s="51"/>
      <c r="H129" s="51"/>
      <c r="I129" s="51"/>
    </row>
    <row r="130" spans="1:9" ht="18" customHeight="1" x14ac:dyDescent="0.2">
      <c r="A130" s="52" t="s">
        <v>1450</v>
      </c>
      <c r="B130" s="51"/>
      <c r="C130" s="51"/>
      <c r="D130" s="51"/>
      <c r="E130" s="51"/>
      <c r="F130" s="51"/>
      <c r="G130" s="51"/>
      <c r="H130" s="51"/>
      <c r="I130" s="51"/>
    </row>
    <row r="132" spans="1:9" ht="22.05" customHeight="1" x14ac:dyDescent="0.5">
      <c r="A132" s="13" t="s">
        <v>1451</v>
      </c>
    </row>
    <row r="133" spans="1:9" ht="18" customHeight="1" x14ac:dyDescent="0.2">
      <c r="A133" s="50" t="s">
        <v>1687</v>
      </c>
      <c r="B133" s="51"/>
      <c r="C133" s="51"/>
      <c r="D133" s="51"/>
      <c r="E133" s="51"/>
      <c r="F133" s="51"/>
      <c r="G133" s="51"/>
      <c r="H133" s="51"/>
      <c r="I133" s="51"/>
    </row>
    <row r="134" spans="1:9" ht="31.95" customHeight="1" x14ac:dyDescent="0.2">
      <c r="A134" s="50" t="s">
        <v>1688</v>
      </c>
      <c r="B134" s="51"/>
      <c r="C134" s="51"/>
      <c r="D134" s="51"/>
      <c r="E134" s="51"/>
      <c r="F134" s="51"/>
      <c r="G134" s="51"/>
      <c r="H134" s="51"/>
      <c r="I134" s="51"/>
    </row>
    <row r="135" spans="1:9" ht="18" customHeight="1" x14ac:dyDescent="0.2">
      <c r="A135" s="50" t="s">
        <v>1689</v>
      </c>
      <c r="B135" s="51"/>
      <c r="C135" s="51"/>
      <c r="D135" s="51"/>
      <c r="E135" s="51"/>
      <c r="F135" s="51"/>
      <c r="G135" s="51"/>
      <c r="H135" s="51"/>
      <c r="I135" s="51"/>
    </row>
    <row r="136" spans="1:9" ht="18" customHeight="1" x14ac:dyDescent="0.2">
      <c r="A136" s="50" t="s">
        <v>1690</v>
      </c>
      <c r="B136" s="51"/>
      <c r="C136" s="51"/>
      <c r="D136" s="51"/>
      <c r="E136" s="51"/>
      <c r="F136" s="51"/>
      <c r="G136" s="51"/>
      <c r="H136" s="51"/>
      <c r="I136" s="51"/>
    </row>
    <row r="137" spans="1:9" ht="18" customHeight="1" x14ac:dyDescent="0.2">
      <c r="A137" s="50" t="s">
        <v>1691</v>
      </c>
      <c r="B137" s="51"/>
      <c r="C137" s="51"/>
      <c r="D137" s="51"/>
      <c r="E137" s="51"/>
      <c r="F137" s="51"/>
      <c r="G137" s="51"/>
      <c r="H137" s="51"/>
      <c r="I137" s="51"/>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1692</v>
      </c>
    </row>
    <row r="3" spans="1:9" ht="30" customHeight="1" x14ac:dyDescent="0.2">
      <c r="A3" s="4" t="s">
        <v>518</v>
      </c>
      <c r="B3" s="4" t="s">
        <v>965</v>
      </c>
      <c r="C3" s="4" t="s">
        <v>1693</v>
      </c>
      <c r="D3" s="4" t="s">
        <v>3</v>
      </c>
      <c r="E3" s="4" t="s">
        <v>1694</v>
      </c>
      <c r="F3" s="4" t="s">
        <v>967</v>
      </c>
      <c r="G3" s="4" t="s">
        <v>1341</v>
      </c>
      <c r="H3" s="4" t="s">
        <v>1695</v>
      </c>
      <c r="I3" s="4" t="s">
        <v>522</v>
      </c>
    </row>
    <row r="4" spans="1:9" ht="30" customHeight="1" x14ac:dyDescent="0.45">
      <c r="A4" s="19" t="s">
        <v>523</v>
      </c>
      <c r="B4" s="22" t="s">
        <v>1696</v>
      </c>
      <c r="C4" s="3"/>
      <c r="D4" s="3" t="s">
        <v>1697</v>
      </c>
      <c r="E4" s="22"/>
      <c r="F4" s="22"/>
      <c r="G4" s="22"/>
      <c r="H4" s="3"/>
      <c r="I4" s="3" t="s">
        <v>1698</v>
      </c>
    </row>
    <row r="5" spans="1:9" ht="30" customHeight="1" x14ac:dyDescent="0.45">
      <c r="A5" s="19" t="s">
        <v>523</v>
      </c>
      <c r="B5" s="22" t="s">
        <v>1696</v>
      </c>
      <c r="C5" s="3"/>
      <c r="D5" s="3" t="s">
        <v>1699</v>
      </c>
      <c r="E5" s="22"/>
      <c r="F5" s="22"/>
      <c r="G5" s="22"/>
      <c r="H5" s="3"/>
      <c r="I5" s="3" t="s">
        <v>1700</v>
      </c>
    </row>
    <row r="6" spans="1:9" ht="30" customHeight="1" x14ac:dyDescent="0.45">
      <c r="A6" s="19" t="s">
        <v>523</v>
      </c>
      <c r="B6" s="22" t="s">
        <v>1696</v>
      </c>
      <c r="C6" s="3"/>
      <c r="D6" s="3" t="s">
        <v>1701</v>
      </c>
      <c r="E6" s="22"/>
      <c r="F6" s="22"/>
      <c r="G6" s="22"/>
      <c r="H6" s="3"/>
      <c r="I6" s="3" t="s">
        <v>1702</v>
      </c>
    </row>
    <row r="7" spans="1:9" ht="30" customHeight="1" x14ac:dyDescent="0.45">
      <c r="A7" s="19" t="s">
        <v>523</v>
      </c>
      <c r="B7" s="22" t="s">
        <v>1696</v>
      </c>
      <c r="C7" s="3"/>
      <c r="D7" s="3" t="s">
        <v>1703</v>
      </c>
      <c r="E7" s="22"/>
      <c r="F7" s="22"/>
      <c r="G7" s="22"/>
      <c r="H7" s="3"/>
      <c r="I7" s="3" t="s">
        <v>1704</v>
      </c>
    </row>
    <row r="8" spans="1:9" ht="18" customHeight="1" x14ac:dyDescent="0.45">
      <c r="A8" s="19" t="s">
        <v>523</v>
      </c>
      <c r="B8" s="22" t="s">
        <v>1696</v>
      </c>
      <c r="C8" s="3"/>
      <c r="D8" s="3" t="s">
        <v>1705</v>
      </c>
      <c r="E8" s="22"/>
      <c r="F8" s="22"/>
      <c r="G8" s="22"/>
      <c r="H8" s="3"/>
      <c r="I8" s="3" t="s">
        <v>1702</v>
      </c>
    </row>
    <row r="9" spans="1:9" ht="30" customHeight="1" x14ac:dyDescent="0.45">
      <c r="A9" s="19" t="s">
        <v>523</v>
      </c>
      <c r="B9" s="22" t="s">
        <v>1706</v>
      </c>
      <c r="C9" s="3"/>
      <c r="D9" s="3" t="s">
        <v>1707</v>
      </c>
      <c r="E9" s="22"/>
      <c r="F9" s="22"/>
      <c r="G9" s="22"/>
      <c r="H9" s="3"/>
      <c r="I9" s="3" t="s">
        <v>1702</v>
      </c>
    </row>
    <row r="10" spans="1:9" ht="30" customHeight="1" x14ac:dyDescent="0.45">
      <c r="A10" s="19" t="s">
        <v>523</v>
      </c>
      <c r="B10" s="22" t="s">
        <v>1706</v>
      </c>
      <c r="C10" s="3"/>
      <c r="D10" s="3" t="s">
        <v>1708</v>
      </c>
      <c r="E10" s="22"/>
      <c r="F10" s="22"/>
      <c r="G10" s="22"/>
      <c r="H10" s="3"/>
      <c r="I10" s="3" t="s">
        <v>1704</v>
      </c>
    </row>
    <row r="11" spans="1:9" ht="30" customHeight="1" x14ac:dyDescent="0.45">
      <c r="A11" s="19" t="s">
        <v>523</v>
      </c>
      <c r="B11" s="22" t="s">
        <v>1706</v>
      </c>
      <c r="C11" s="3"/>
      <c r="D11" s="3" t="s">
        <v>1709</v>
      </c>
      <c r="E11" s="22"/>
      <c r="F11" s="22"/>
      <c r="G11" s="22"/>
      <c r="H11" s="3"/>
      <c r="I11" s="3" t="s">
        <v>1704</v>
      </c>
    </row>
    <row r="12" spans="1:9" ht="30" customHeight="1" x14ac:dyDescent="0.45">
      <c r="A12" s="19" t="s">
        <v>523</v>
      </c>
      <c r="B12" s="22" t="s">
        <v>1706</v>
      </c>
      <c r="C12" s="3"/>
      <c r="D12" s="3" t="s">
        <v>1710</v>
      </c>
      <c r="E12" s="22"/>
      <c r="F12" s="22"/>
      <c r="G12" s="22"/>
      <c r="H12" s="3"/>
      <c r="I12" s="3" t="s">
        <v>1704</v>
      </c>
    </row>
    <row r="13" spans="1:9" ht="18" customHeight="1" x14ac:dyDescent="0.45">
      <c r="A13" s="19" t="s">
        <v>523</v>
      </c>
      <c r="B13" s="22" t="s">
        <v>1706</v>
      </c>
      <c r="C13" s="3"/>
      <c r="D13" s="3" t="s">
        <v>1711</v>
      </c>
      <c r="E13" s="22"/>
      <c r="F13" s="22"/>
      <c r="G13" s="22"/>
      <c r="H13" s="3"/>
      <c r="I13" s="3" t="s">
        <v>1712</v>
      </c>
    </row>
    <row r="14" spans="1:9" ht="18" customHeight="1" x14ac:dyDescent="0.45">
      <c r="A14" s="19" t="s">
        <v>523</v>
      </c>
      <c r="B14" s="22" t="s">
        <v>1713</v>
      </c>
      <c r="C14" s="3"/>
      <c r="D14" s="3" t="s">
        <v>1714</v>
      </c>
      <c r="E14" s="22"/>
      <c r="F14" s="22"/>
      <c r="G14" s="22"/>
      <c r="H14" s="3"/>
      <c r="I14" s="3" t="s">
        <v>1715</v>
      </c>
    </row>
    <row r="15" spans="1:9" ht="18" customHeight="1" x14ac:dyDescent="0.45">
      <c r="A15" s="19" t="s">
        <v>523</v>
      </c>
      <c r="B15" s="22" t="s">
        <v>1713</v>
      </c>
      <c r="C15" s="3"/>
      <c r="D15" s="3" t="s">
        <v>1716</v>
      </c>
      <c r="E15" s="22"/>
      <c r="F15" s="22"/>
      <c r="G15" s="22"/>
      <c r="H15" s="3"/>
      <c r="I15" s="3" t="s">
        <v>1712</v>
      </c>
    </row>
    <row r="16" spans="1:9" ht="18" customHeight="1" x14ac:dyDescent="0.45">
      <c r="A16" s="19" t="s">
        <v>523</v>
      </c>
      <c r="B16" s="22" t="s">
        <v>1713</v>
      </c>
      <c r="C16" s="3"/>
      <c r="D16" s="3" t="s">
        <v>1717</v>
      </c>
      <c r="E16" s="22"/>
      <c r="F16" s="22"/>
      <c r="G16" s="22"/>
      <c r="H16" s="3"/>
      <c r="I16" s="3" t="s">
        <v>1712</v>
      </c>
    </row>
    <row r="17" spans="1:9" ht="30" customHeight="1" x14ac:dyDescent="0.45">
      <c r="A17" s="19" t="s">
        <v>523</v>
      </c>
      <c r="B17" s="22" t="s">
        <v>1713</v>
      </c>
      <c r="C17" s="3"/>
      <c r="D17" s="3" t="s">
        <v>1718</v>
      </c>
      <c r="E17" s="22"/>
      <c r="F17" s="22"/>
      <c r="G17" s="22"/>
      <c r="H17" s="3"/>
      <c r="I17" s="3" t="s">
        <v>1712</v>
      </c>
    </row>
    <row r="18" spans="1:9" ht="30" customHeight="1" x14ac:dyDescent="0.45">
      <c r="A18" s="19" t="s">
        <v>523</v>
      </c>
      <c r="B18" s="22" t="s">
        <v>1713</v>
      </c>
      <c r="C18" s="3"/>
      <c r="D18" s="3" t="s">
        <v>1719</v>
      </c>
      <c r="E18" s="22"/>
      <c r="F18" s="22"/>
      <c r="G18" s="22"/>
      <c r="H18" s="3"/>
      <c r="I18" s="3" t="s">
        <v>1712</v>
      </c>
    </row>
    <row r="19" spans="1:9" ht="30" customHeight="1" x14ac:dyDescent="0.45">
      <c r="A19" s="19" t="s">
        <v>523</v>
      </c>
      <c r="B19" s="22" t="s">
        <v>1720</v>
      </c>
      <c r="C19" s="3"/>
      <c r="D19" s="3" t="s">
        <v>1721</v>
      </c>
      <c r="E19" s="22"/>
      <c r="F19" s="22"/>
      <c r="G19" s="22"/>
      <c r="H19" s="3"/>
      <c r="I19" s="3" t="s">
        <v>1722</v>
      </c>
    </row>
    <row r="20" spans="1:9" ht="45" customHeight="1" x14ac:dyDescent="0.45">
      <c r="A20" s="19" t="s">
        <v>523</v>
      </c>
      <c r="B20" s="22" t="s">
        <v>1720</v>
      </c>
      <c r="C20" s="3"/>
      <c r="D20" s="3" t="s">
        <v>1723</v>
      </c>
      <c r="E20" s="22"/>
      <c r="F20" s="22"/>
      <c r="G20" s="22"/>
      <c r="H20" s="3"/>
      <c r="I20" s="3" t="s">
        <v>1722</v>
      </c>
    </row>
    <row r="21" spans="1:9" ht="30" customHeight="1" x14ac:dyDescent="0.45">
      <c r="A21" s="19" t="s">
        <v>523</v>
      </c>
      <c r="B21" s="22" t="s">
        <v>1720</v>
      </c>
      <c r="C21" s="3"/>
      <c r="D21" s="3" t="s">
        <v>1724</v>
      </c>
      <c r="E21" s="22"/>
      <c r="F21" s="22"/>
      <c r="G21" s="22"/>
      <c r="H21" s="3"/>
      <c r="I21" s="3" t="s">
        <v>1722</v>
      </c>
    </row>
    <row r="22" spans="1:9" ht="30" customHeight="1" x14ac:dyDescent="0.45">
      <c r="A22" s="19" t="s">
        <v>523</v>
      </c>
      <c r="B22" s="22" t="s">
        <v>1720</v>
      </c>
      <c r="C22" s="3"/>
      <c r="D22" s="3" t="s">
        <v>1725</v>
      </c>
      <c r="E22" s="22"/>
      <c r="F22" s="22"/>
      <c r="G22" s="22"/>
      <c r="H22" s="3"/>
      <c r="I22" s="3" t="s">
        <v>1722</v>
      </c>
    </row>
    <row r="23" spans="1:9" ht="30" customHeight="1" x14ac:dyDescent="0.45">
      <c r="A23" s="19" t="s">
        <v>523</v>
      </c>
      <c r="B23" s="22" t="s">
        <v>1726</v>
      </c>
      <c r="C23" s="3"/>
      <c r="D23" s="3" t="s">
        <v>1727</v>
      </c>
      <c r="E23" s="22"/>
      <c r="F23" s="22"/>
      <c r="G23" s="22"/>
      <c r="H23" s="3"/>
      <c r="I23" s="3" t="s">
        <v>1704</v>
      </c>
    </row>
    <row r="24" spans="1:9" ht="30" customHeight="1" x14ac:dyDescent="0.45">
      <c r="A24" s="19" t="s">
        <v>523</v>
      </c>
      <c r="B24" s="22" t="s">
        <v>1726</v>
      </c>
      <c r="C24" s="3"/>
      <c r="D24" s="3" t="s">
        <v>1728</v>
      </c>
      <c r="E24" s="22"/>
      <c r="F24" s="22"/>
      <c r="G24" s="22"/>
      <c r="H24" s="3"/>
      <c r="I24" s="3" t="s">
        <v>1729</v>
      </c>
    </row>
    <row r="25" spans="1:9" ht="30" customHeight="1" x14ac:dyDescent="0.45">
      <c r="A25" s="19" t="s">
        <v>523</v>
      </c>
      <c r="B25" s="22" t="s">
        <v>1726</v>
      </c>
      <c r="C25" s="3"/>
      <c r="D25" s="3" t="s">
        <v>1730</v>
      </c>
      <c r="E25" s="22"/>
      <c r="F25" s="22"/>
      <c r="G25" s="22"/>
      <c r="H25" s="3"/>
      <c r="I25" s="3" t="s">
        <v>1731</v>
      </c>
    </row>
    <row r="26" spans="1:9" ht="30" customHeight="1" x14ac:dyDescent="0.45">
      <c r="A26" s="19" t="s">
        <v>523</v>
      </c>
      <c r="B26" s="22" t="s">
        <v>1726</v>
      </c>
      <c r="C26" s="3"/>
      <c r="D26" s="3" t="s">
        <v>1732</v>
      </c>
      <c r="E26" s="22"/>
      <c r="F26" s="22"/>
      <c r="G26" s="22"/>
      <c r="H26" s="3"/>
      <c r="I26" s="3" t="s">
        <v>1731</v>
      </c>
    </row>
    <row r="27" spans="1:9" ht="18" customHeight="1" x14ac:dyDescent="0.45">
      <c r="A27" s="19" t="s">
        <v>523</v>
      </c>
      <c r="B27" s="22" t="s">
        <v>1726</v>
      </c>
      <c r="C27" s="3"/>
      <c r="D27" s="3" t="s">
        <v>1733</v>
      </c>
      <c r="E27" s="22"/>
      <c r="F27" s="22"/>
      <c r="G27" s="22"/>
      <c r="H27" s="3"/>
      <c r="I27" s="3" t="s">
        <v>1734</v>
      </c>
    </row>
    <row r="28" spans="1:9" ht="30" customHeight="1" x14ac:dyDescent="0.45">
      <c r="A28" s="19" t="s">
        <v>523</v>
      </c>
      <c r="B28" s="22" t="s">
        <v>894</v>
      </c>
      <c r="C28" s="3"/>
      <c r="D28" s="3" t="s">
        <v>1735</v>
      </c>
      <c r="E28" s="22"/>
      <c r="F28" s="22"/>
      <c r="G28" s="22"/>
      <c r="H28" s="3"/>
      <c r="I28" s="3" t="s">
        <v>1704</v>
      </c>
    </row>
    <row r="29" spans="1:9" ht="30" customHeight="1" x14ac:dyDescent="0.45">
      <c r="A29" s="19" t="s">
        <v>523</v>
      </c>
      <c r="B29" s="22" t="s">
        <v>894</v>
      </c>
      <c r="C29" s="3"/>
      <c r="D29" s="3" t="s">
        <v>1736</v>
      </c>
      <c r="E29" s="22"/>
      <c r="F29" s="22"/>
      <c r="G29" s="22"/>
      <c r="H29" s="3"/>
      <c r="I29" s="3" t="s">
        <v>1712</v>
      </c>
    </row>
    <row r="30" spans="1:9" ht="30" customHeight="1" x14ac:dyDescent="0.45">
      <c r="A30" s="19" t="s">
        <v>523</v>
      </c>
      <c r="B30" s="22" t="s">
        <v>894</v>
      </c>
      <c r="C30" s="3"/>
      <c r="D30" s="3" t="s">
        <v>1737</v>
      </c>
      <c r="E30" s="22"/>
      <c r="F30" s="22"/>
      <c r="G30" s="22"/>
      <c r="H30" s="3"/>
      <c r="I30" s="3" t="s">
        <v>1738</v>
      </c>
    </row>
    <row r="31" spans="1:9" ht="18" customHeight="1" x14ac:dyDescent="0.45">
      <c r="A31" s="19" t="s">
        <v>523</v>
      </c>
      <c r="B31" s="22" t="s">
        <v>894</v>
      </c>
      <c r="C31" s="3"/>
      <c r="D31" s="3" t="s">
        <v>1739</v>
      </c>
      <c r="E31" s="22"/>
      <c r="F31" s="22"/>
      <c r="G31" s="22"/>
      <c r="H31" s="3"/>
      <c r="I31" s="3" t="s">
        <v>1704</v>
      </c>
    </row>
    <row r="32" spans="1:9" ht="18" customHeight="1" x14ac:dyDescent="0.45">
      <c r="A32" s="19" t="s">
        <v>523</v>
      </c>
      <c r="B32" s="22" t="s">
        <v>894</v>
      </c>
      <c r="C32" s="3"/>
      <c r="D32" s="3" t="s">
        <v>1740</v>
      </c>
      <c r="E32" s="22"/>
      <c r="F32" s="22"/>
      <c r="G32" s="22"/>
      <c r="H32" s="3"/>
      <c r="I32" s="3" t="s">
        <v>1741</v>
      </c>
    </row>
    <row r="33" spans="1:9" ht="30" customHeight="1" x14ac:dyDescent="0.45">
      <c r="A33" s="19" t="s">
        <v>523</v>
      </c>
      <c r="B33" s="22" t="s">
        <v>898</v>
      </c>
      <c r="C33" s="3"/>
      <c r="D33" s="3" t="s">
        <v>1742</v>
      </c>
      <c r="E33" s="22"/>
      <c r="F33" s="22"/>
      <c r="G33" s="22"/>
      <c r="H33" s="3"/>
      <c r="I33" s="3" t="s">
        <v>1702</v>
      </c>
    </row>
    <row r="34" spans="1:9" ht="18" customHeight="1" x14ac:dyDescent="0.45">
      <c r="A34" s="19" t="s">
        <v>523</v>
      </c>
      <c r="B34" s="22" t="s">
        <v>898</v>
      </c>
      <c r="C34" s="3"/>
      <c r="D34" s="3" t="s">
        <v>1743</v>
      </c>
      <c r="E34" s="22"/>
      <c r="F34" s="22"/>
      <c r="G34" s="22"/>
      <c r="H34" s="3"/>
      <c r="I34" s="3" t="s">
        <v>1744</v>
      </c>
    </row>
    <row r="35" spans="1:9" ht="18" customHeight="1" x14ac:dyDescent="0.45">
      <c r="A35" s="19" t="s">
        <v>523</v>
      </c>
      <c r="B35" s="22" t="s">
        <v>898</v>
      </c>
      <c r="C35" s="3"/>
      <c r="D35" s="3" t="s">
        <v>1745</v>
      </c>
      <c r="E35" s="22"/>
      <c r="F35" s="22"/>
      <c r="G35" s="22"/>
      <c r="H35" s="3"/>
      <c r="I35" s="3" t="s">
        <v>1715</v>
      </c>
    </row>
    <row r="36" spans="1:9" ht="30" customHeight="1" x14ac:dyDescent="0.45">
      <c r="A36" s="19" t="s">
        <v>523</v>
      </c>
      <c r="B36" s="22" t="s">
        <v>898</v>
      </c>
      <c r="C36" s="3"/>
      <c r="D36" s="3" t="s">
        <v>1746</v>
      </c>
      <c r="E36" s="22"/>
      <c r="F36" s="22"/>
      <c r="G36" s="22"/>
      <c r="H36" s="3"/>
      <c r="I36" s="3" t="s">
        <v>1747</v>
      </c>
    </row>
    <row r="37" spans="1:9" ht="30" customHeight="1" x14ac:dyDescent="0.45">
      <c r="A37" s="19" t="s">
        <v>523</v>
      </c>
      <c r="B37" s="22" t="s">
        <v>898</v>
      </c>
      <c r="C37" s="3"/>
      <c r="D37" s="3" t="s">
        <v>1748</v>
      </c>
      <c r="E37" s="22"/>
      <c r="F37" s="22"/>
      <c r="G37" s="22"/>
      <c r="H37" s="3"/>
      <c r="I37" s="3" t="s">
        <v>1712</v>
      </c>
    </row>
    <row r="38" spans="1:9" ht="18" customHeight="1" x14ac:dyDescent="0.45">
      <c r="A38" s="19" t="s">
        <v>523</v>
      </c>
      <c r="B38" s="22" t="s">
        <v>1749</v>
      </c>
      <c r="C38" s="3" t="s">
        <v>1750</v>
      </c>
      <c r="D38" s="3"/>
      <c r="E38" s="48">
        <v>41000000</v>
      </c>
      <c r="F38" s="22" t="s">
        <v>1751</v>
      </c>
      <c r="G38" s="22">
        <v>2025</v>
      </c>
      <c r="H38" s="3" t="s">
        <v>1752</v>
      </c>
      <c r="I38" s="3" t="s">
        <v>1722</v>
      </c>
    </row>
    <row r="39" spans="1:9" ht="18" customHeight="1" x14ac:dyDescent="0.45">
      <c r="A39" s="19" t="s">
        <v>523</v>
      </c>
      <c r="B39" s="22" t="s">
        <v>1749</v>
      </c>
      <c r="C39" s="3" t="s">
        <v>1753</v>
      </c>
      <c r="D39" s="3"/>
      <c r="E39" s="48">
        <v>1200000</v>
      </c>
      <c r="F39" s="22" t="s">
        <v>1751</v>
      </c>
      <c r="G39" s="22">
        <v>2025</v>
      </c>
      <c r="H39" s="3" t="s">
        <v>1752</v>
      </c>
      <c r="I39" s="3" t="s">
        <v>1722</v>
      </c>
    </row>
    <row r="40" spans="1:9" ht="18" customHeight="1" x14ac:dyDescent="0.45">
      <c r="A40" s="19" t="s">
        <v>523</v>
      </c>
      <c r="B40" s="22" t="s">
        <v>1749</v>
      </c>
      <c r="C40" s="3" t="s">
        <v>1754</v>
      </c>
      <c r="D40" s="3"/>
      <c r="E40" s="48">
        <v>570000</v>
      </c>
      <c r="F40" s="22" t="s">
        <v>1751</v>
      </c>
      <c r="G40" s="22">
        <v>2025</v>
      </c>
      <c r="H40" s="3" t="s">
        <v>1752</v>
      </c>
      <c r="I40" s="3" t="s">
        <v>1722</v>
      </c>
    </row>
    <row r="41" spans="1:9" ht="18" customHeight="1" x14ac:dyDescent="0.45">
      <c r="A41" s="19" t="s">
        <v>523</v>
      </c>
      <c r="B41" s="22" t="s">
        <v>1749</v>
      </c>
      <c r="C41" s="3" t="s">
        <v>1755</v>
      </c>
      <c r="D41" s="3"/>
      <c r="E41" s="48">
        <v>32100000</v>
      </c>
      <c r="F41" s="22" t="s">
        <v>1751</v>
      </c>
      <c r="G41" s="22">
        <v>2025</v>
      </c>
      <c r="H41" s="3" t="s">
        <v>1752</v>
      </c>
      <c r="I41" s="3" t="s">
        <v>1722</v>
      </c>
    </row>
    <row r="42" spans="1:9" ht="30" customHeight="1" x14ac:dyDescent="0.45">
      <c r="A42" s="19" t="s">
        <v>523</v>
      </c>
      <c r="B42" s="22" t="s">
        <v>1756</v>
      </c>
      <c r="C42" s="3" t="s">
        <v>1757</v>
      </c>
      <c r="D42" s="3" t="s">
        <v>1758</v>
      </c>
      <c r="E42" s="22"/>
      <c r="F42" s="22"/>
      <c r="G42" s="22"/>
      <c r="H42" s="3"/>
      <c r="I42" s="3" t="s">
        <v>1759</v>
      </c>
    </row>
    <row r="43" spans="1:9" ht="30" customHeight="1" x14ac:dyDescent="0.45">
      <c r="A43" s="19" t="s">
        <v>523</v>
      </c>
      <c r="B43" s="22" t="s">
        <v>1756</v>
      </c>
      <c r="C43" s="3" t="s">
        <v>1757</v>
      </c>
      <c r="D43" s="3" t="s">
        <v>1760</v>
      </c>
      <c r="E43" s="22"/>
      <c r="F43" s="22"/>
      <c r="G43" s="22"/>
      <c r="H43" s="3"/>
      <c r="I43" s="3" t="s">
        <v>1704</v>
      </c>
    </row>
    <row r="44" spans="1:9" ht="45" customHeight="1" x14ac:dyDescent="0.45">
      <c r="A44" s="19" t="s">
        <v>523</v>
      </c>
      <c r="B44" s="22" t="s">
        <v>1756</v>
      </c>
      <c r="C44" s="3" t="s">
        <v>1757</v>
      </c>
      <c r="D44" s="3" t="s">
        <v>1761</v>
      </c>
      <c r="E44" s="22"/>
      <c r="F44" s="22"/>
      <c r="G44" s="22"/>
      <c r="H44" s="3"/>
      <c r="I44" s="3" t="s">
        <v>1762</v>
      </c>
    </row>
    <row r="45" spans="1:9" ht="30" customHeight="1" x14ac:dyDescent="0.45">
      <c r="A45" s="19" t="s">
        <v>523</v>
      </c>
      <c r="B45" s="22" t="s">
        <v>1756</v>
      </c>
      <c r="C45" s="3" t="s">
        <v>1757</v>
      </c>
      <c r="D45" s="3" t="s">
        <v>1763</v>
      </c>
      <c r="E45" s="22"/>
      <c r="F45" s="22"/>
      <c r="G45" s="22"/>
      <c r="H45" s="3"/>
      <c r="I45" s="3" t="s">
        <v>1764</v>
      </c>
    </row>
    <row r="46" spans="1:9" ht="18" customHeight="1" x14ac:dyDescent="0.45">
      <c r="A46" s="19" t="s">
        <v>523</v>
      </c>
      <c r="B46" s="22" t="s">
        <v>1765</v>
      </c>
      <c r="C46" s="3" t="s">
        <v>1757</v>
      </c>
      <c r="D46" s="3" t="s">
        <v>1766</v>
      </c>
      <c r="E46" s="48">
        <v>29.9</v>
      </c>
      <c r="F46" s="22" t="s">
        <v>1224</v>
      </c>
      <c r="G46" s="22">
        <v>2025</v>
      </c>
      <c r="H46" s="3" t="s">
        <v>9</v>
      </c>
      <c r="I46" s="3" t="s">
        <v>1762</v>
      </c>
    </row>
    <row r="47" spans="1:9" ht="45" customHeight="1" x14ac:dyDescent="0.45">
      <c r="A47" s="19" t="s">
        <v>523</v>
      </c>
      <c r="B47" s="22" t="s">
        <v>1756</v>
      </c>
      <c r="C47" s="3" t="s">
        <v>1767</v>
      </c>
      <c r="D47" s="3" t="s">
        <v>1768</v>
      </c>
      <c r="E47" s="22"/>
      <c r="F47" s="22"/>
      <c r="G47" s="22"/>
      <c r="H47" s="3"/>
      <c r="I47" s="3" t="s">
        <v>1747</v>
      </c>
    </row>
    <row r="48" spans="1:9" ht="30" customHeight="1" x14ac:dyDescent="0.45">
      <c r="A48" s="19" t="s">
        <v>523</v>
      </c>
      <c r="B48" s="22" t="s">
        <v>1756</v>
      </c>
      <c r="C48" s="3" t="s">
        <v>1767</v>
      </c>
      <c r="D48" s="3" t="s">
        <v>1769</v>
      </c>
      <c r="E48" s="22"/>
      <c r="F48" s="22"/>
      <c r="G48" s="22"/>
      <c r="H48" s="3"/>
      <c r="I48" s="3" t="s">
        <v>1770</v>
      </c>
    </row>
    <row r="49" spans="1:9" ht="30" customHeight="1" x14ac:dyDescent="0.45">
      <c r="A49" s="19" t="s">
        <v>523</v>
      </c>
      <c r="B49" s="22" t="s">
        <v>1756</v>
      </c>
      <c r="C49" s="3" t="s">
        <v>1767</v>
      </c>
      <c r="D49" s="3" t="s">
        <v>1771</v>
      </c>
      <c r="E49" s="22"/>
      <c r="F49" s="22"/>
      <c r="G49" s="22"/>
      <c r="H49" s="3"/>
      <c r="I49" s="3" t="s">
        <v>1772</v>
      </c>
    </row>
    <row r="50" spans="1:9" ht="30" customHeight="1" x14ac:dyDescent="0.45">
      <c r="A50" s="19" t="s">
        <v>523</v>
      </c>
      <c r="B50" s="22" t="s">
        <v>1756</v>
      </c>
      <c r="C50" s="3" t="s">
        <v>1767</v>
      </c>
      <c r="D50" s="3" t="s">
        <v>1773</v>
      </c>
      <c r="E50" s="22"/>
      <c r="F50" s="22"/>
      <c r="G50" s="22"/>
      <c r="H50" s="3"/>
      <c r="I50" s="3" t="s">
        <v>1715</v>
      </c>
    </row>
    <row r="51" spans="1:9" ht="30" customHeight="1" x14ac:dyDescent="0.45">
      <c r="A51" s="19" t="s">
        <v>528</v>
      </c>
      <c r="B51" s="22" t="s">
        <v>1696</v>
      </c>
      <c r="C51" s="3"/>
      <c r="D51" s="3" t="s">
        <v>1774</v>
      </c>
      <c r="E51" s="22"/>
      <c r="F51" s="22"/>
      <c r="G51" s="22"/>
      <c r="H51" s="3"/>
      <c r="I51" s="3" t="s">
        <v>1775</v>
      </c>
    </row>
    <row r="52" spans="1:9" ht="45" customHeight="1" x14ac:dyDescent="0.45">
      <c r="A52" s="19" t="s">
        <v>528</v>
      </c>
      <c r="B52" s="22" t="s">
        <v>1696</v>
      </c>
      <c r="C52" s="3"/>
      <c r="D52" s="3" t="s">
        <v>1776</v>
      </c>
      <c r="E52" s="22"/>
      <c r="F52" s="22"/>
      <c r="G52" s="22"/>
      <c r="H52" s="3"/>
      <c r="I52" s="3" t="s">
        <v>1777</v>
      </c>
    </row>
    <row r="53" spans="1:9" ht="30" customHeight="1" x14ac:dyDescent="0.45">
      <c r="A53" s="19" t="s">
        <v>528</v>
      </c>
      <c r="B53" s="22" t="s">
        <v>1696</v>
      </c>
      <c r="C53" s="3"/>
      <c r="D53" s="3" t="s">
        <v>1778</v>
      </c>
      <c r="E53" s="22"/>
      <c r="F53" s="22"/>
      <c r="G53" s="22"/>
      <c r="H53" s="3"/>
      <c r="I53" s="3" t="s">
        <v>1775</v>
      </c>
    </row>
    <row r="54" spans="1:9" ht="18" customHeight="1" x14ac:dyDescent="0.45">
      <c r="A54" s="19" t="s">
        <v>528</v>
      </c>
      <c r="B54" s="22" t="s">
        <v>1696</v>
      </c>
      <c r="C54" s="3"/>
      <c r="D54" s="3" t="s">
        <v>1779</v>
      </c>
      <c r="E54" s="22"/>
      <c r="F54" s="22"/>
      <c r="G54" s="22"/>
      <c r="H54" s="3"/>
      <c r="I54" s="3" t="s">
        <v>1780</v>
      </c>
    </row>
    <row r="55" spans="1:9" ht="30" customHeight="1" x14ac:dyDescent="0.45">
      <c r="A55" s="19" t="s">
        <v>528</v>
      </c>
      <c r="B55" s="22" t="s">
        <v>1696</v>
      </c>
      <c r="C55" s="3"/>
      <c r="D55" s="3" t="s">
        <v>1781</v>
      </c>
      <c r="E55" s="22"/>
      <c r="F55" s="22"/>
      <c r="G55" s="22"/>
      <c r="H55" s="3"/>
      <c r="I55" s="3" t="s">
        <v>1782</v>
      </c>
    </row>
    <row r="56" spans="1:9" ht="30" customHeight="1" x14ac:dyDescent="0.45">
      <c r="A56" s="19" t="s">
        <v>528</v>
      </c>
      <c r="B56" s="22" t="s">
        <v>1706</v>
      </c>
      <c r="C56" s="3"/>
      <c r="D56" s="3" t="s">
        <v>1783</v>
      </c>
      <c r="E56" s="22"/>
      <c r="F56" s="22"/>
      <c r="G56" s="22"/>
      <c r="H56" s="3"/>
      <c r="I56" s="3" t="s">
        <v>1777</v>
      </c>
    </row>
    <row r="57" spans="1:9" ht="18" customHeight="1" x14ac:dyDescent="0.45">
      <c r="A57" s="19" t="s">
        <v>528</v>
      </c>
      <c r="B57" s="22" t="s">
        <v>1706</v>
      </c>
      <c r="C57" s="3"/>
      <c r="D57" s="3" t="s">
        <v>1784</v>
      </c>
      <c r="E57" s="22"/>
      <c r="F57" s="22"/>
      <c r="G57" s="22"/>
      <c r="H57" s="3"/>
      <c r="I57" s="3" t="s">
        <v>1785</v>
      </c>
    </row>
    <row r="58" spans="1:9" ht="18" customHeight="1" x14ac:dyDescent="0.45">
      <c r="A58" s="19" t="s">
        <v>528</v>
      </c>
      <c r="B58" s="22" t="s">
        <v>1706</v>
      </c>
      <c r="C58" s="3"/>
      <c r="D58" s="3" t="s">
        <v>1786</v>
      </c>
      <c r="E58" s="22"/>
      <c r="F58" s="22"/>
      <c r="G58" s="22"/>
      <c r="H58" s="3"/>
      <c r="I58" s="3" t="s">
        <v>1787</v>
      </c>
    </row>
    <row r="59" spans="1:9" ht="18" customHeight="1" x14ac:dyDescent="0.45">
      <c r="A59" s="19" t="s">
        <v>528</v>
      </c>
      <c r="B59" s="22" t="s">
        <v>1706</v>
      </c>
      <c r="C59" s="3"/>
      <c r="D59" s="3" t="s">
        <v>1788</v>
      </c>
      <c r="E59" s="22"/>
      <c r="F59" s="22"/>
      <c r="G59" s="22"/>
      <c r="H59" s="3"/>
      <c r="I59" s="3" t="s">
        <v>1789</v>
      </c>
    </row>
    <row r="60" spans="1:9" ht="30" customHeight="1" x14ac:dyDescent="0.45">
      <c r="A60" s="19" t="s">
        <v>528</v>
      </c>
      <c r="B60" s="22" t="s">
        <v>1720</v>
      </c>
      <c r="C60" s="3"/>
      <c r="D60" s="3" t="s">
        <v>1790</v>
      </c>
      <c r="E60" s="22"/>
      <c r="F60" s="22"/>
      <c r="G60" s="22"/>
      <c r="H60" s="3"/>
      <c r="I60" s="3" t="s">
        <v>1791</v>
      </c>
    </row>
    <row r="61" spans="1:9" ht="45" customHeight="1" x14ac:dyDescent="0.45">
      <c r="A61" s="19" t="s">
        <v>528</v>
      </c>
      <c r="B61" s="22" t="s">
        <v>1720</v>
      </c>
      <c r="C61" s="3"/>
      <c r="D61" s="3" t="s">
        <v>1792</v>
      </c>
      <c r="E61" s="22"/>
      <c r="F61" s="22"/>
      <c r="G61" s="22"/>
      <c r="H61" s="3"/>
      <c r="I61" s="3" t="s">
        <v>1793</v>
      </c>
    </row>
    <row r="62" spans="1:9" ht="30" customHeight="1" x14ac:dyDescent="0.45">
      <c r="A62" s="19" t="s">
        <v>528</v>
      </c>
      <c r="B62" s="22" t="s">
        <v>1720</v>
      </c>
      <c r="C62" s="3"/>
      <c r="D62" s="3" t="s">
        <v>1794</v>
      </c>
      <c r="E62" s="22"/>
      <c r="F62" s="22"/>
      <c r="G62" s="22"/>
      <c r="H62" s="3"/>
      <c r="I62" s="3" t="s">
        <v>1795</v>
      </c>
    </row>
    <row r="63" spans="1:9" ht="30" customHeight="1" x14ac:dyDescent="0.45">
      <c r="A63" s="19" t="s">
        <v>528</v>
      </c>
      <c r="B63" s="22" t="s">
        <v>1720</v>
      </c>
      <c r="C63" s="3"/>
      <c r="D63" s="3" t="s">
        <v>1796</v>
      </c>
      <c r="E63" s="22"/>
      <c r="F63" s="22"/>
      <c r="G63" s="22"/>
      <c r="H63" s="3"/>
      <c r="I63" s="3" t="s">
        <v>1785</v>
      </c>
    </row>
    <row r="64" spans="1:9" ht="30" customHeight="1" x14ac:dyDescent="0.45">
      <c r="A64" s="19" t="s">
        <v>528</v>
      </c>
      <c r="B64" s="22" t="s">
        <v>1726</v>
      </c>
      <c r="C64" s="3"/>
      <c r="D64" s="3" t="s">
        <v>1797</v>
      </c>
      <c r="E64" s="22"/>
      <c r="F64" s="22"/>
      <c r="G64" s="22"/>
      <c r="H64" s="3"/>
      <c r="I64" s="3" t="s">
        <v>1798</v>
      </c>
    </row>
    <row r="65" spans="1:9" ht="18" customHeight="1" x14ac:dyDescent="0.45">
      <c r="A65" s="19" t="s">
        <v>528</v>
      </c>
      <c r="B65" s="22" t="s">
        <v>1726</v>
      </c>
      <c r="C65" s="3"/>
      <c r="D65" s="3" t="s">
        <v>1799</v>
      </c>
      <c r="E65" s="22"/>
      <c r="F65" s="22"/>
      <c r="G65" s="22"/>
      <c r="H65" s="3"/>
      <c r="I65" s="3" t="s">
        <v>1798</v>
      </c>
    </row>
    <row r="66" spans="1:9" ht="30" customHeight="1" x14ac:dyDescent="0.45">
      <c r="A66" s="19" t="s">
        <v>528</v>
      </c>
      <c r="B66" s="22" t="s">
        <v>1726</v>
      </c>
      <c r="C66" s="3"/>
      <c r="D66" s="3" t="s">
        <v>1800</v>
      </c>
      <c r="E66" s="22"/>
      <c r="F66" s="22"/>
      <c r="G66" s="22"/>
      <c r="H66" s="3"/>
      <c r="I66" s="3" t="s">
        <v>1798</v>
      </c>
    </row>
    <row r="67" spans="1:9" ht="18" customHeight="1" x14ac:dyDescent="0.45">
      <c r="A67" s="19" t="s">
        <v>528</v>
      </c>
      <c r="B67" s="22" t="s">
        <v>1726</v>
      </c>
      <c r="C67" s="3"/>
      <c r="D67" s="3" t="s">
        <v>1801</v>
      </c>
      <c r="E67" s="22"/>
      <c r="F67" s="22"/>
      <c r="G67" s="22"/>
      <c r="H67" s="3"/>
      <c r="I67" s="3" t="s">
        <v>1734</v>
      </c>
    </row>
    <row r="68" spans="1:9" ht="18" customHeight="1" x14ac:dyDescent="0.45">
      <c r="A68" s="19" t="s">
        <v>528</v>
      </c>
      <c r="B68" s="22" t="s">
        <v>1726</v>
      </c>
      <c r="C68" s="3"/>
      <c r="D68" s="3" t="s">
        <v>1802</v>
      </c>
      <c r="E68" s="22"/>
      <c r="F68" s="22"/>
      <c r="G68" s="22"/>
      <c r="H68" s="3"/>
      <c r="I68" s="3" t="s">
        <v>1782</v>
      </c>
    </row>
    <row r="69" spans="1:9" ht="30" customHeight="1" x14ac:dyDescent="0.45">
      <c r="A69" s="19" t="s">
        <v>528</v>
      </c>
      <c r="B69" s="22" t="s">
        <v>894</v>
      </c>
      <c r="C69" s="3"/>
      <c r="D69" s="3" t="s">
        <v>1803</v>
      </c>
      <c r="E69" s="22"/>
      <c r="F69" s="22"/>
      <c r="G69" s="22"/>
      <c r="H69" s="3"/>
      <c r="I69" s="3" t="s">
        <v>1804</v>
      </c>
    </row>
    <row r="70" spans="1:9" ht="18" customHeight="1" x14ac:dyDescent="0.45">
      <c r="A70" s="19" t="s">
        <v>528</v>
      </c>
      <c r="B70" s="22" t="s">
        <v>894</v>
      </c>
      <c r="C70" s="3"/>
      <c r="D70" s="3" t="s">
        <v>1805</v>
      </c>
      <c r="E70" s="22"/>
      <c r="F70" s="22"/>
      <c r="G70" s="22"/>
      <c r="H70" s="3"/>
      <c r="I70" s="3" t="s">
        <v>1798</v>
      </c>
    </row>
    <row r="71" spans="1:9" ht="18" customHeight="1" x14ac:dyDescent="0.45">
      <c r="A71" s="19" t="s">
        <v>528</v>
      </c>
      <c r="B71" s="22" t="s">
        <v>894</v>
      </c>
      <c r="C71" s="3"/>
      <c r="D71" s="3" t="s">
        <v>1806</v>
      </c>
      <c r="E71" s="22"/>
      <c r="F71" s="22"/>
      <c r="G71" s="22"/>
      <c r="H71" s="3"/>
      <c r="I71" s="3" t="s">
        <v>1785</v>
      </c>
    </row>
    <row r="72" spans="1:9" ht="18" customHeight="1" x14ac:dyDescent="0.45">
      <c r="A72" s="19" t="s">
        <v>528</v>
      </c>
      <c r="B72" s="22" t="s">
        <v>894</v>
      </c>
      <c r="C72" s="3"/>
      <c r="D72" s="3" t="s">
        <v>1807</v>
      </c>
      <c r="E72" s="22"/>
      <c r="F72" s="22"/>
      <c r="G72" s="22"/>
      <c r="H72" s="3"/>
      <c r="I72" s="3" t="s">
        <v>1789</v>
      </c>
    </row>
    <row r="73" spans="1:9" ht="18" customHeight="1" x14ac:dyDescent="0.45">
      <c r="A73" s="19" t="s">
        <v>528</v>
      </c>
      <c r="B73" s="22" t="s">
        <v>898</v>
      </c>
      <c r="C73" s="3"/>
      <c r="D73" s="3" t="s">
        <v>1808</v>
      </c>
      <c r="E73" s="22"/>
      <c r="F73" s="22"/>
      <c r="G73" s="22"/>
      <c r="H73" s="3"/>
      <c r="I73" s="3" t="s">
        <v>1777</v>
      </c>
    </row>
    <row r="74" spans="1:9" ht="30" customHeight="1" x14ac:dyDescent="0.45">
      <c r="A74" s="19" t="s">
        <v>528</v>
      </c>
      <c r="B74" s="22" t="s">
        <v>898</v>
      </c>
      <c r="C74" s="3"/>
      <c r="D74" s="3" t="s">
        <v>1809</v>
      </c>
      <c r="E74" s="22"/>
      <c r="F74" s="22"/>
      <c r="G74" s="22"/>
      <c r="H74" s="3"/>
      <c r="I74" s="3" t="s">
        <v>1798</v>
      </c>
    </row>
    <row r="75" spans="1:9" ht="30" customHeight="1" x14ac:dyDescent="0.45">
      <c r="A75" s="19" t="s">
        <v>528</v>
      </c>
      <c r="B75" s="22" t="s">
        <v>898</v>
      </c>
      <c r="C75" s="3"/>
      <c r="D75" s="3" t="s">
        <v>1810</v>
      </c>
      <c r="E75" s="22"/>
      <c r="F75" s="22"/>
      <c r="G75" s="22"/>
      <c r="H75" s="3"/>
      <c r="I75" s="3" t="s">
        <v>1777</v>
      </c>
    </row>
    <row r="76" spans="1:9" ht="18" customHeight="1" x14ac:dyDescent="0.45">
      <c r="A76" s="19" t="s">
        <v>528</v>
      </c>
      <c r="B76" s="22" t="s">
        <v>898</v>
      </c>
      <c r="C76" s="3"/>
      <c r="D76" s="3" t="s">
        <v>1811</v>
      </c>
      <c r="E76" s="22"/>
      <c r="F76" s="22"/>
      <c r="G76" s="22"/>
      <c r="H76" s="3"/>
      <c r="I76" s="3" t="s">
        <v>1780</v>
      </c>
    </row>
    <row r="77" spans="1:9" ht="18" customHeight="1" x14ac:dyDescent="0.45">
      <c r="A77" s="19" t="s">
        <v>528</v>
      </c>
      <c r="B77" s="22" t="s">
        <v>898</v>
      </c>
      <c r="C77" s="3"/>
      <c r="D77" s="3" t="s">
        <v>1812</v>
      </c>
      <c r="E77" s="22"/>
      <c r="F77" s="22"/>
      <c r="G77" s="22"/>
      <c r="H77" s="3"/>
      <c r="I77" s="3" t="s">
        <v>1798</v>
      </c>
    </row>
    <row r="78" spans="1:9" ht="18" customHeight="1" x14ac:dyDescent="0.45">
      <c r="A78" s="19" t="s">
        <v>528</v>
      </c>
      <c r="B78" s="22" t="s">
        <v>1749</v>
      </c>
      <c r="C78" s="3" t="s">
        <v>1813</v>
      </c>
      <c r="D78" s="3"/>
      <c r="E78" s="48">
        <v>8000000</v>
      </c>
      <c r="F78" s="22" t="s">
        <v>1751</v>
      </c>
      <c r="G78" s="22">
        <v>2022</v>
      </c>
      <c r="H78" s="3" t="s">
        <v>1752</v>
      </c>
      <c r="I78" s="3" t="s">
        <v>1791</v>
      </c>
    </row>
    <row r="79" spans="1:9" ht="18" customHeight="1" x14ac:dyDescent="0.45">
      <c r="A79" s="19" t="s">
        <v>528</v>
      </c>
      <c r="B79" s="22" t="s">
        <v>1749</v>
      </c>
      <c r="C79" s="3" t="s">
        <v>1814</v>
      </c>
      <c r="D79" s="3"/>
      <c r="E79" s="48">
        <v>1100000</v>
      </c>
      <c r="F79" s="22" t="s">
        <v>1751</v>
      </c>
      <c r="G79" s="22">
        <v>2022</v>
      </c>
      <c r="H79" s="3" t="s">
        <v>1752</v>
      </c>
      <c r="I79" s="3" t="s">
        <v>1815</v>
      </c>
    </row>
    <row r="80" spans="1:9" ht="18" customHeight="1" x14ac:dyDescent="0.45">
      <c r="A80" s="19" t="s">
        <v>528</v>
      </c>
      <c r="B80" s="22" t="s">
        <v>1749</v>
      </c>
      <c r="C80" s="3" t="s">
        <v>1532</v>
      </c>
      <c r="D80" s="3"/>
      <c r="E80" s="48">
        <v>700000</v>
      </c>
      <c r="F80" s="22" t="s">
        <v>1816</v>
      </c>
      <c r="G80" s="22">
        <v>2022</v>
      </c>
      <c r="H80" s="3" t="s">
        <v>1752</v>
      </c>
      <c r="I80" s="3" t="s">
        <v>1795</v>
      </c>
    </row>
    <row r="81" spans="1:9" ht="18" customHeight="1" x14ac:dyDescent="0.45">
      <c r="A81" s="19" t="s">
        <v>528</v>
      </c>
      <c r="B81" s="22" t="s">
        <v>1749</v>
      </c>
      <c r="C81" s="3" t="s">
        <v>1817</v>
      </c>
      <c r="D81" s="3"/>
      <c r="E81" s="48">
        <v>523</v>
      </c>
      <c r="F81" s="22" t="s">
        <v>1816</v>
      </c>
      <c r="G81" s="22">
        <v>2022</v>
      </c>
      <c r="H81" s="3" t="s">
        <v>1752</v>
      </c>
      <c r="I81" s="3" t="s">
        <v>1795</v>
      </c>
    </row>
    <row r="82" spans="1:9" ht="18" customHeight="1" x14ac:dyDescent="0.45">
      <c r="A82" s="19" t="s">
        <v>528</v>
      </c>
      <c r="B82" s="22" t="s">
        <v>1749</v>
      </c>
      <c r="C82" s="3" t="s">
        <v>1818</v>
      </c>
      <c r="D82" s="3"/>
      <c r="E82" s="48">
        <v>390000</v>
      </c>
      <c r="F82" s="22" t="s">
        <v>1816</v>
      </c>
      <c r="G82" s="22">
        <v>2022</v>
      </c>
      <c r="H82" s="3" t="s">
        <v>1752</v>
      </c>
      <c r="I82" s="3" t="s">
        <v>1795</v>
      </c>
    </row>
    <row r="83" spans="1:9" ht="45" customHeight="1" x14ac:dyDescent="0.45">
      <c r="A83" s="19" t="s">
        <v>528</v>
      </c>
      <c r="B83" s="22" t="s">
        <v>1756</v>
      </c>
      <c r="C83" s="3" t="s">
        <v>1819</v>
      </c>
      <c r="D83" s="3" t="s">
        <v>1820</v>
      </c>
      <c r="E83" s="22"/>
      <c r="F83" s="22"/>
      <c r="G83" s="22"/>
      <c r="H83" s="3"/>
      <c r="I83" s="3" t="s">
        <v>1821</v>
      </c>
    </row>
    <row r="84" spans="1:9" ht="30" customHeight="1" x14ac:dyDescent="0.45">
      <c r="A84" s="19" t="s">
        <v>528</v>
      </c>
      <c r="B84" s="22" t="s">
        <v>1756</v>
      </c>
      <c r="C84" s="3" t="s">
        <v>1819</v>
      </c>
      <c r="D84" s="3" t="s">
        <v>1822</v>
      </c>
      <c r="E84" s="22"/>
      <c r="F84" s="22"/>
      <c r="G84" s="22"/>
      <c r="H84" s="3"/>
      <c r="I84" s="3" t="s">
        <v>1823</v>
      </c>
    </row>
    <row r="85" spans="1:9" ht="30" customHeight="1" x14ac:dyDescent="0.45">
      <c r="A85" s="19" t="s">
        <v>528</v>
      </c>
      <c r="B85" s="22" t="s">
        <v>1756</v>
      </c>
      <c r="C85" s="3" t="s">
        <v>1819</v>
      </c>
      <c r="D85" s="3" t="s">
        <v>1824</v>
      </c>
      <c r="E85" s="22"/>
      <c r="F85" s="22"/>
      <c r="G85" s="22"/>
      <c r="H85" s="3"/>
      <c r="I85" s="3" t="s">
        <v>1825</v>
      </c>
    </row>
    <row r="86" spans="1:9" ht="30" customHeight="1" x14ac:dyDescent="0.45">
      <c r="A86" s="19" t="s">
        <v>528</v>
      </c>
      <c r="B86" s="22" t="s">
        <v>1756</v>
      </c>
      <c r="C86" s="3" t="s">
        <v>1819</v>
      </c>
      <c r="D86" s="3" t="s">
        <v>1826</v>
      </c>
      <c r="E86" s="22"/>
      <c r="F86" s="22"/>
      <c r="G86" s="22"/>
      <c r="H86" s="3"/>
      <c r="I86" s="3" t="s">
        <v>1827</v>
      </c>
    </row>
    <row r="87" spans="1:9" ht="30" customHeight="1" x14ac:dyDescent="0.45">
      <c r="A87" s="19" t="s">
        <v>528</v>
      </c>
      <c r="B87" s="22" t="s">
        <v>1756</v>
      </c>
      <c r="C87" s="3" t="s">
        <v>1819</v>
      </c>
      <c r="D87" s="3" t="s">
        <v>1828</v>
      </c>
      <c r="E87" s="22"/>
      <c r="F87" s="22"/>
      <c r="G87" s="22"/>
      <c r="H87" s="3"/>
      <c r="I87" s="3" t="s">
        <v>1829</v>
      </c>
    </row>
    <row r="88" spans="1:9" ht="18" customHeight="1" x14ac:dyDescent="0.45">
      <c r="A88" s="19" t="s">
        <v>528</v>
      </c>
      <c r="B88" s="22" t="s">
        <v>1765</v>
      </c>
      <c r="C88" s="3" t="s">
        <v>1819</v>
      </c>
      <c r="D88" s="3" t="s">
        <v>1830</v>
      </c>
      <c r="E88" s="48">
        <v>30</v>
      </c>
      <c r="F88" s="22" t="s">
        <v>1831</v>
      </c>
      <c r="G88" s="22">
        <v>2024</v>
      </c>
      <c r="H88" s="3" t="s">
        <v>9</v>
      </c>
      <c r="I88" s="3" t="s">
        <v>1825</v>
      </c>
    </row>
    <row r="89" spans="1:9" ht="18" customHeight="1" x14ac:dyDescent="0.45">
      <c r="A89" s="19" t="s">
        <v>528</v>
      </c>
      <c r="B89" s="22" t="s">
        <v>1765</v>
      </c>
      <c r="C89" s="3" t="s">
        <v>1819</v>
      </c>
      <c r="D89" s="3" t="s">
        <v>1830</v>
      </c>
      <c r="E89" s="48">
        <v>37</v>
      </c>
      <c r="F89" s="22" t="s">
        <v>1831</v>
      </c>
      <c r="G89" s="22">
        <v>2023</v>
      </c>
      <c r="H89" s="3" t="s">
        <v>9</v>
      </c>
      <c r="I89" s="3" t="s">
        <v>1825</v>
      </c>
    </row>
    <row r="90" spans="1:9" ht="45" customHeight="1" x14ac:dyDescent="0.45">
      <c r="A90" s="19" t="s">
        <v>528</v>
      </c>
      <c r="B90" s="22" t="s">
        <v>1756</v>
      </c>
      <c r="C90" s="3" t="s">
        <v>1832</v>
      </c>
      <c r="D90" s="3" t="s">
        <v>1833</v>
      </c>
      <c r="E90" s="22"/>
      <c r="F90" s="22"/>
      <c r="G90" s="22"/>
      <c r="H90" s="3"/>
      <c r="I90" s="3" t="s">
        <v>1734</v>
      </c>
    </row>
    <row r="91" spans="1:9" ht="30" customHeight="1" x14ac:dyDescent="0.45">
      <c r="A91" s="19" t="s">
        <v>528</v>
      </c>
      <c r="B91" s="22" t="s">
        <v>1756</v>
      </c>
      <c r="C91" s="3" t="s">
        <v>1832</v>
      </c>
      <c r="D91" s="3" t="s">
        <v>1834</v>
      </c>
      <c r="E91" s="22"/>
      <c r="F91" s="22"/>
      <c r="G91" s="22"/>
      <c r="H91" s="3"/>
      <c r="I91" s="3" t="s">
        <v>1734</v>
      </c>
    </row>
    <row r="92" spans="1:9" ht="30" customHeight="1" x14ac:dyDescent="0.45">
      <c r="A92" s="19" t="s">
        <v>528</v>
      </c>
      <c r="B92" s="22" t="s">
        <v>1756</v>
      </c>
      <c r="C92" s="3" t="s">
        <v>1832</v>
      </c>
      <c r="D92" s="3" t="s">
        <v>1835</v>
      </c>
      <c r="E92" s="22"/>
      <c r="F92" s="22"/>
      <c r="G92" s="22"/>
      <c r="H92" s="3"/>
      <c r="I92" s="3" t="s">
        <v>1789</v>
      </c>
    </row>
    <row r="93" spans="1:9" ht="18" customHeight="1" x14ac:dyDescent="0.45">
      <c r="A93" s="19" t="s">
        <v>528</v>
      </c>
      <c r="B93" s="22" t="s">
        <v>1756</v>
      </c>
      <c r="C93" s="3" t="s">
        <v>1832</v>
      </c>
      <c r="D93" s="3" t="s">
        <v>1836</v>
      </c>
      <c r="E93" s="22"/>
      <c r="F93" s="22"/>
      <c r="G93" s="22"/>
      <c r="H93" s="3"/>
      <c r="I93" s="3" t="s">
        <v>1782</v>
      </c>
    </row>
    <row r="94" spans="1:9" ht="30" customHeight="1" x14ac:dyDescent="0.45">
      <c r="A94" s="19" t="s">
        <v>528</v>
      </c>
      <c r="B94" s="22" t="s">
        <v>1756</v>
      </c>
      <c r="C94" s="3" t="s">
        <v>1837</v>
      </c>
      <c r="D94" s="3" t="s">
        <v>1838</v>
      </c>
      <c r="E94" s="22"/>
      <c r="F94" s="22"/>
      <c r="G94" s="22"/>
      <c r="H94" s="3"/>
      <c r="I94" s="3" t="s">
        <v>1785</v>
      </c>
    </row>
    <row r="95" spans="1:9" ht="30" customHeight="1" x14ac:dyDescent="0.45">
      <c r="A95" s="19" t="s">
        <v>528</v>
      </c>
      <c r="B95" s="22" t="s">
        <v>1756</v>
      </c>
      <c r="C95" s="3" t="s">
        <v>1837</v>
      </c>
      <c r="D95" s="3" t="s">
        <v>1839</v>
      </c>
      <c r="E95" s="22"/>
      <c r="F95" s="22"/>
      <c r="G95" s="22"/>
      <c r="H95" s="3"/>
      <c r="I95" s="3" t="s">
        <v>1785</v>
      </c>
    </row>
    <row r="96" spans="1:9" ht="30" customHeight="1" x14ac:dyDescent="0.45">
      <c r="A96" s="19" t="s">
        <v>530</v>
      </c>
      <c r="B96" s="22" t="s">
        <v>1696</v>
      </c>
      <c r="C96" s="3"/>
      <c r="D96" s="3" t="s">
        <v>1840</v>
      </c>
      <c r="E96" s="22"/>
      <c r="F96" s="22"/>
      <c r="G96" s="22"/>
      <c r="H96" s="3"/>
      <c r="I96" s="3" t="s">
        <v>1841</v>
      </c>
    </row>
    <row r="97" spans="1:9" ht="30" customHeight="1" x14ac:dyDescent="0.45">
      <c r="A97" s="19" t="s">
        <v>530</v>
      </c>
      <c r="B97" s="22" t="s">
        <v>1696</v>
      </c>
      <c r="C97" s="3"/>
      <c r="D97" s="3" t="s">
        <v>1842</v>
      </c>
      <c r="E97" s="22"/>
      <c r="F97" s="22"/>
      <c r="G97" s="22"/>
      <c r="H97" s="3"/>
      <c r="I97" s="3" t="s">
        <v>1841</v>
      </c>
    </row>
    <row r="98" spans="1:9" ht="45" customHeight="1" x14ac:dyDescent="0.45">
      <c r="A98" s="19" t="s">
        <v>530</v>
      </c>
      <c r="B98" s="22" t="s">
        <v>1696</v>
      </c>
      <c r="C98" s="3"/>
      <c r="D98" s="3" t="s">
        <v>1843</v>
      </c>
      <c r="E98" s="22"/>
      <c r="F98" s="22"/>
      <c r="G98" s="22"/>
      <c r="H98" s="3"/>
      <c r="I98" s="3" t="s">
        <v>1841</v>
      </c>
    </row>
    <row r="99" spans="1:9" ht="30" customHeight="1" x14ac:dyDescent="0.45">
      <c r="A99" s="19" t="s">
        <v>530</v>
      </c>
      <c r="B99" s="22" t="s">
        <v>1696</v>
      </c>
      <c r="C99" s="3"/>
      <c r="D99" s="3" t="s">
        <v>1844</v>
      </c>
      <c r="E99" s="22"/>
      <c r="F99" s="22"/>
      <c r="G99" s="22"/>
      <c r="H99" s="3"/>
      <c r="I99" s="3" t="s">
        <v>1845</v>
      </c>
    </row>
    <row r="100" spans="1:9" ht="18" customHeight="1" x14ac:dyDescent="0.45">
      <c r="A100" s="19" t="s">
        <v>530</v>
      </c>
      <c r="B100" s="22" t="s">
        <v>1696</v>
      </c>
      <c r="C100" s="3"/>
      <c r="D100" s="3" t="s">
        <v>1846</v>
      </c>
      <c r="E100" s="22"/>
      <c r="F100" s="22"/>
      <c r="G100" s="22"/>
      <c r="H100" s="3"/>
      <c r="I100" s="3" t="s">
        <v>1847</v>
      </c>
    </row>
    <row r="101" spans="1:9" ht="18" customHeight="1" x14ac:dyDescent="0.45">
      <c r="A101" s="19" t="s">
        <v>530</v>
      </c>
      <c r="B101" s="22" t="s">
        <v>1706</v>
      </c>
      <c r="C101" s="3"/>
      <c r="D101" s="3" t="s">
        <v>1848</v>
      </c>
      <c r="E101" s="22"/>
      <c r="F101" s="22"/>
      <c r="G101" s="22"/>
      <c r="H101" s="3"/>
      <c r="I101" s="3" t="s">
        <v>1841</v>
      </c>
    </row>
    <row r="102" spans="1:9" ht="30" customHeight="1" x14ac:dyDescent="0.45">
      <c r="A102" s="19" t="s">
        <v>530</v>
      </c>
      <c r="B102" s="22" t="s">
        <v>1706</v>
      </c>
      <c r="C102" s="3"/>
      <c r="D102" s="3" t="s">
        <v>1849</v>
      </c>
      <c r="E102" s="22"/>
      <c r="F102" s="22"/>
      <c r="G102" s="22"/>
      <c r="H102" s="3"/>
      <c r="I102" s="3" t="s">
        <v>1850</v>
      </c>
    </row>
    <row r="103" spans="1:9" ht="18" customHeight="1" x14ac:dyDescent="0.45">
      <c r="A103" s="19" t="s">
        <v>530</v>
      </c>
      <c r="B103" s="22" t="s">
        <v>1706</v>
      </c>
      <c r="C103" s="3"/>
      <c r="D103" s="3" t="s">
        <v>1851</v>
      </c>
      <c r="E103" s="22"/>
      <c r="F103" s="22"/>
      <c r="G103" s="22"/>
      <c r="H103" s="3"/>
      <c r="I103" s="3" t="s">
        <v>1852</v>
      </c>
    </row>
    <row r="104" spans="1:9" ht="30" customHeight="1" x14ac:dyDescent="0.45">
      <c r="A104" s="19" t="s">
        <v>530</v>
      </c>
      <c r="B104" s="22" t="s">
        <v>1706</v>
      </c>
      <c r="C104" s="3"/>
      <c r="D104" s="3" t="s">
        <v>1853</v>
      </c>
      <c r="E104" s="22"/>
      <c r="F104" s="22"/>
      <c r="G104" s="22"/>
      <c r="H104" s="3"/>
      <c r="I104" s="3" t="s">
        <v>1854</v>
      </c>
    </row>
    <row r="105" spans="1:9" ht="30" customHeight="1" x14ac:dyDescent="0.45">
      <c r="A105" s="19" t="s">
        <v>530</v>
      </c>
      <c r="B105" s="22" t="s">
        <v>1720</v>
      </c>
      <c r="C105" s="3"/>
      <c r="D105" s="3" t="s">
        <v>1855</v>
      </c>
      <c r="E105" s="22"/>
      <c r="F105" s="22"/>
      <c r="G105" s="22"/>
      <c r="H105" s="3"/>
      <c r="I105" s="3" t="s">
        <v>1856</v>
      </c>
    </row>
    <row r="106" spans="1:9" ht="30" customHeight="1" x14ac:dyDescent="0.45">
      <c r="A106" s="19" t="s">
        <v>530</v>
      </c>
      <c r="B106" s="22" t="s">
        <v>1720</v>
      </c>
      <c r="C106" s="3"/>
      <c r="D106" s="3" t="s">
        <v>1857</v>
      </c>
      <c r="E106" s="22"/>
      <c r="F106" s="22"/>
      <c r="G106" s="22"/>
      <c r="H106" s="3"/>
      <c r="I106" s="3" t="s">
        <v>1858</v>
      </c>
    </row>
    <row r="107" spans="1:9" ht="30" customHeight="1" x14ac:dyDescent="0.45">
      <c r="A107" s="19" t="s">
        <v>530</v>
      </c>
      <c r="B107" s="22" t="s">
        <v>1720</v>
      </c>
      <c r="C107" s="3"/>
      <c r="D107" s="3" t="s">
        <v>1859</v>
      </c>
      <c r="E107" s="22"/>
      <c r="F107" s="22"/>
      <c r="G107" s="22"/>
      <c r="H107" s="3"/>
      <c r="I107" s="3" t="s">
        <v>1860</v>
      </c>
    </row>
    <row r="108" spans="1:9" ht="30" customHeight="1" x14ac:dyDescent="0.45">
      <c r="A108" s="19" t="s">
        <v>530</v>
      </c>
      <c r="B108" s="22" t="s">
        <v>1720</v>
      </c>
      <c r="C108" s="3"/>
      <c r="D108" s="3" t="s">
        <v>1861</v>
      </c>
      <c r="E108" s="22"/>
      <c r="F108" s="22"/>
      <c r="G108" s="22"/>
      <c r="H108" s="3"/>
      <c r="I108" s="3" t="s">
        <v>1858</v>
      </c>
    </row>
    <row r="109" spans="1:9" ht="18" customHeight="1" x14ac:dyDescent="0.45">
      <c r="A109" s="19" t="s">
        <v>530</v>
      </c>
      <c r="B109" s="22" t="s">
        <v>1720</v>
      </c>
      <c r="C109" s="3"/>
      <c r="D109" s="3" t="s">
        <v>1862</v>
      </c>
      <c r="E109" s="22"/>
      <c r="F109" s="22"/>
      <c r="G109" s="22"/>
      <c r="H109" s="3"/>
      <c r="I109" s="3" t="s">
        <v>1863</v>
      </c>
    </row>
    <row r="110" spans="1:9" ht="30" customHeight="1" x14ac:dyDescent="0.45">
      <c r="A110" s="19" t="s">
        <v>530</v>
      </c>
      <c r="B110" s="22" t="s">
        <v>1726</v>
      </c>
      <c r="C110" s="3"/>
      <c r="D110" s="3" t="s">
        <v>1864</v>
      </c>
      <c r="E110" s="22"/>
      <c r="F110" s="22"/>
      <c r="G110" s="22"/>
      <c r="H110" s="3"/>
      <c r="I110" s="3" t="s">
        <v>1847</v>
      </c>
    </row>
    <row r="111" spans="1:9" ht="18" customHeight="1" x14ac:dyDescent="0.45">
      <c r="A111" s="19" t="s">
        <v>530</v>
      </c>
      <c r="B111" s="22" t="s">
        <v>1726</v>
      </c>
      <c r="C111" s="3"/>
      <c r="D111" s="3" t="s">
        <v>1865</v>
      </c>
      <c r="E111" s="22"/>
      <c r="F111" s="22"/>
      <c r="G111" s="22"/>
      <c r="H111" s="3"/>
      <c r="I111" s="3" t="s">
        <v>1866</v>
      </c>
    </row>
    <row r="112" spans="1:9" ht="18" customHeight="1" x14ac:dyDescent="0.45">
      <c r="A112" s="19" t="s">
        <v>530</v>
      </c>
      <c r="B112" s="22" t="s">
        <v>1726</v>
      </c>
      <c r="C112" s="3"/>
      <c r="D112" s="3" t="s">
        <v>1867</v>
      </c>
      <c r="E112" s="22"/>
      <c r="F112" s="22"/>
      <c r="G112" s="22"/>
      <c r="H112" s="3"/>
      <c r="I112" s="3" t="s">
        <v>1868</v>
      </c>
    </row>
    <row r="113" spans="1:9" ht="18" customHeight="1" x14ac:dyDescent="0.45">
      <c r="A113" s="19" t="s">
        <v>530</v>
      </c>
      <c r="B113" s="22" t="s">
        <v>894</v>
      </c>
      <c r="C113" s="3"/>
      <c r="D113" s="3" t="s">
        <v>1869</v>
      </c>
      <c r="E113" s="22"/>
      <c r="F113" s="22"/>
      <c r="G113" s="22"/>
      <c r="H113" s="3"/>
      <c r="I113" s="3" t="s">
        <v>1841</v>
      </c>
    </row>
    <row r="114" spans="1:9" ht="18" customHeight="1" x14ac:dyDescent="0.45">
      <c r="A114" s="19" t="s">
        <v>530</v>
      </c>
      <c r="B114" s="22" t="s">
        <v>894</v>
      </c>
      <c r="C114" s="3"/>
      <c r="D114" s="3" t="s">
        <v>1870</v>
      </c>
      <c r="E114" s="22"/>
      <c r="F114" s="22"/>
      <c r="G114" s="22"/>
      <c r="H114" s="3"/>
      <c r="I114" s="3" t="s">
        <v>1871</v>
      </c>
    </row>
    <row r="115" spans="1:9" ht="30" customHeight="1" x14ac:dyDescent="0.45">
      <c r="A115" s="19" t="s">
        <v>530</v>
      </c>
      <c r="B115" s="22" t="s">
        <v>894</v>
      </c>
      <c r="C115" s="3"/>
      <c r="D115" s="3" t="s">
        <v>1872</v>
      </c>
      <c r="E115" s="22"/>
      <c r="F115" s="22"/>
      <c r="G115" s="22"/>
      <c r="H115" s="3"/>
      <c r="I115" s="3" t="s">
        <v>1873</v>
      </c>
    </row>
    <row r="116" spans="1:9" ht="30" customHeight="1" x14ac:dyDescent="0.45">
      <c r="A116" s="19" t="s">
        <v>530</v>
      </c>
      <c r="B116" s="22" t="s">
        <v>894</v>
      </c>
      <c r="C116" s="3"/>
      <c r="D116" s="3" t="s">
        <v>1874</v>
      </c>
      <c r="E116" s="22"/>
      <c r="F116" s="22"/>
      <c r="G116" s="22"/>
      <c r="H116" s="3"/>
      <c r="I116" s="3" t="s">
        <v>1875</v>
      </c>
    </row>
    <row r="117" spans="1:9" ht="18" customHeight="1" x14ac:dyDescent="0.45">
      <c r="A117" s="19" t="s">
        <v>530</v>
      </c>
      <c r="B117" s="22" t="s">
        <v>894</v>
      </c>
      <c r="C117" s="3"/>
      <c r="D117" s="3" t="s">
        <v>1876</v>
      </c>
      <c r="E117" s="22"/>
      <c r="F117" s="22"/>
      <c r="G117" s="22"/>
      <c r="H117" s="3"/>
      <c r="I117" s="3" t="s">
        <v>1847</v>
      </c>
    </row>
    <row r="118" spans="1:9" ht="18" customHeight="1" x14ac:dyDescent="0.45">
      <c r="A118" s="19" t="s">
        <v>530</v>
      </c>
      <c r="B118" s="22" t="s">
        <v>898</v>
      </c>
      <c r="C118" s="3"/>
      <c r="D118" s="3" t="s">
        <v>1877</v>
      </c>
      <c r="E118" s="22"/>
      <c r="F118" s="22"/>
      <c r="G118" s="22"/>
      <c r="H118" s="3"/>
      <c r="I118" s="3" t="s">
        <v>1841</v>
      </c>
    </row>
    <row r="119" spans="1:9" ht="30" customHeight="1" x14ac:dyDescent="0.45">
      <c r="A119" s="19" t="s">
        <v>530</v>
      </c>
      <c r="B119" s="22" t="s">
        <v>898</v>
      </c>
      <c r="C119" s="3"/>
      <c r="D119" s="3" t="s">
        <v>1878</v>
      </c>
      <c r="E119" s="22"/>
      <c r="F119" s="22"/>
      <c r="G119" s="22"/>
      <c r="H119" s="3"/>
      <c r="I119" s="3" t="s">
        <v>1863</v>
      </c>
    </row>
    <row r="120" spans="1:9" ht="30" customHeight="1" x14ac:dyDescent="0.45">
      <c r="A120" s="19" t="s">
        <v>530</v>
      </c>
      <c r="B120" s="22" t="s">
        <v>898</v>
      </c>
      <c r="C120" s="3"/>
      <c r="D120" s="3" t="s">
        <v>1879</v>
      </c>
      <c r="E120" s="22"/>
      <c r="F120" s="22"/>
      <c r="G120" s="22"/>
      <c r="H120" s="3"/>
      <c r="I120" s="3" t="s">
        <v>1866</v>
      </c>
    </row>
    <row r="121" spans="1:9" ht="18" customHeight="1" x14ac:dyDescent="0.45">
      <c r="A121" s="19" t="s">
        <v>530</v>
      </c>
      <c r="B121" s="22" t="s">
        <v>1749</v>
      </c>
      <c r="C121" s="3" t="s">
        <v>1880</v>
      </c>
      <c r="D121" s="3"/>
      <c r="E121" s="48">
        <v>11000000</v>
      </c>
      <c r="F121" s="22" t="s">
        <v>1751</v>
      </c>
      <c r="G121" s="22">
        <v>2024</v>
      </c>
      <c r="H121" s="3" t="s">
        <v>1752</v>
      </c>
      <c r="I121" s="3" t="s">
        <v>1856</v>
      </c>
    </row>
    <row r="122" spans="1:9" ht="18" customHeight="1" x14ac:dyDescent="0.45">
      <c r="A122" s="19" t="s">
        <v>530</v>
      </c>
      <c r="B122" s="22" t="s">
        <v>1749</v>
      </c>
      <c r="C122" s="3" t="s">
        <v>1881</v>
      </c>
      <c r="D122" s="3"/>
      <c r="E122" s="48">
        <v>95000</v>
      </c>
      <c r="F122" s="22" t="s">
        <v>1751</v>
      </c>
      <c r="G122" s="22">
        <v>2024</v>
      </c>
      <c r="H122" s="3" t="s">
        <v>1752</v>
      </c>
      <c r="I122" s="3" t="s">
        <v>1858</v>
      </c>
    </row>
    <row r="123" spans="1:9" ht="18" customHeight="1" x14ac:dyDescent="0.45">
      <c r="A123" s="19" t="s">
        <v>530</v>
      </c>
      <c r="B123" s="22" t="s">
        <v>1749</v>
      </c>
      <c r="C123" s="3" t="s">
        <v>1882</v>
      </c>
      <c r="D123" s="3"/>
      <c r="E123" s="48">
        <v>59</v>
      </c>
      <c r="F123" s="22" t="s">
        <v>1883</v>
      </c>
      <c r="G123" s="22">
        <v>2024</v>
      </c>
      <c r="H123" s="3" t="s">
        <v>1884</v>
      </c>
      <c r="I123" s="3" t="s">
        <v>1860</v>
      </c>
    </row>
    <row r="124" spans="1:9" ht="18" customHeight="1" x14ac:dyDescent="0.45">
      <c r="A124" s="19" t="s">
        <v>530</v>
      </c>
      <c r="B124" s="22" t="s">
        <v>1749</v>
      </c>
      <c r="C124" s="3" t="s">
        <v>1885</v>
      </c>
      <c r="D124" s="3"/>
      <c r="E124" s="48">
        <v>84</v>
      </c>
      <c r="F124" s="22" t="s">
        <v>1224</v>
      </c>
      <c r="G124" s="22">
        <v>2025</v>
      </c>
      <c r="H124" s="3" t="s">
        <v>1752</v>
      </c>
      <c r="I124" s="3" t="s">
        <v>1863</v>
      </c>
    </row>
    <row r="125" spans="1:9" ht="18" customHeight="1" x14ac:dyDescent="0.45">
      <c r="A125" s="19" t="s">
        <v>530</v>
      </c>
      <c r="B125" s="22" t="s">
        <v>1749</v>
      </c>
      <c r="C125" s="3" t="s">
        <v>1886</v>
      </c>
      <c r="D125" s="3"/>
      <c r="E125" s="48">
        <v>77</v>
      </c>
      <c r="F125" s="22" t="s">
        <v>1224</v>
      </c>
      <c r="G125" s="22">
        <v>2025</v>
      </c>
      <c r="H125" s="3" t="s">
        <v>1752</v>
      </c>
      <c r="I125" s="3" t="s">
        <v>1863</v>
      </c>
    </row>
    <row r="126" spans="1:9" ht="18" customHeight="1" x14ac:dyDescent="0.45">
      <c r="A126" s="19" t="s">
        <v>530</v>
      </c>
      <c r="B126" s="22" t="s">
        <v>1756</v>
      </c>
      <c r="C126" s="3" t="s">
        <v>1887</v>
      </c>
      <c r="D126" s="3" t="s">
        <v>1888</v>
      </c>
      <c r="E126" s="22"/>
      <c r="F126" s="22"/>
      <c r="G126" s="22"/>
      <c r="H126" s="3"/>
      <c r="I126" s="3" t="s">
        <v>1841</v>
      </c>
    </row>
    <row r="127" spans="1:9" ht="18" customHeight="1" x14ac:dyDescent="0.45">
      <c r="A127" s="19" t="s">
        <v>530</v>
      </c>
      <c r="B127" s="22" t="s">
        <v>1756</v>
      </c>
      <c r="C127" s="3" t="s">
        <v>1887</v>
      </c>
      <c r="D127" s="3" t="s">
        <v>1889</v>
      </c>
      <c r="E127" s="22"/>
      <c r="F127" s="22"/>
      <c r="G127" s="22"/>
      <c r="H127" s="3"/>
      <c r="I127" s="3" t="s">
        <v>1852</v>
      </c>
    </row>
    <row r="128" spans="1:9" ht="18" customHeight="1" x14ac:dyDescent="0.45">
      <c r="A128" s="19" t="s">
        <v>530</v>
      </c>
      <c r="B128" s="22" t="s">
        <v>1756</v>
      </c>
      <c r="C128" s="3" t="s">
        <v>1887</v>
      </c>
      <c r="D128" s="3" t="s">
        <v>1890</v>
      </c>
      <c r="E128" s="22"/>
      <c r="F128" s="22"/>
      <c r="G128" s="22"/>
      <c r="H128" s="3"/>
      <c r="I128" s="3" t="s">
        <v>1863</v>
      </c>
    </row>
    <row r="129" spans="1:9" ht="18" customHeight="1" x14ac:dyDescent="0.45">
      <c r="A129" s="19" t="s">
        <v>530</v>
      </c>
      <c r="B129" s="22" t="s">
        <v>1756</v>
      </c>
      <c r="C129" s="3" t="s">
        <v>1887</v>
      </c>
      <c r="D129" s="3" t="s">
        <v>1891</v>
      </c>
      <c r="E129" s="22"/>
      <c r="F129" s="22"/>
      <c r="G129" s="22"/>
      <c r="H129" s="3"/>
      <c r="I129" s="3" t="s">
        <v>1852</v>
      </c>
    </row>
    <row r="130" spans="1:9" ht="45" customHeight="1" x14ac:dyDescent="0.45">
      <c r="A130" s="19" t="s">
        <v>530</v>
      </c>
      <c r="B130" s="22" t="s">
        <v>1756</v>
      </c>
      <c r="C130" s="3" t="s">
        <v>1892</v>
      </c>
      <c r="D130" s="3" t="s">
        <v>1893</v>
      </c>
      <c r="E130" s="22"/>
      <c r="F130" s="22"/>
      <c r="G130" s="22"/>
      <c r="H130" s="3"/>
      <c r="I130" s="3" t="s">
        <v>1894</v>
      </c>
    </row>
    <row r="131" spans="1:9" ht="30" customHeight="1" x14ac:dyDescent="0.45">
      <c r="A131" s="19" t="s">
        <v>530</v>
      </c>
      <c r="B131" s="22" t="s">
        <v>1756</v>
      </c>
      <c r="C131" s="3" t="s">
        <v>1892</v>
      </c>
      <c r="D131" s="3" t="s">
        <v>1895</v>
      </c>
      <c r="E131" s="22"/>
      <c r="F131" s="22"/>
      <c r="G131" s="22"/>
      <c r="H131" s="3"/>
      <c r="I131" s="3" t="s">
        <v>1845</v>
      </c>
    </row>
    <row r="132" spans="1:9" ht="30" customHeight="1" x14ac:dyDescent="0.45">
      <c r="A132" s="19" t="s">
        <v>530</v>
      </c>
      <c r="B132" s="22" t="s">
        <v>1756</v>
      </c>
      <c r="C132" s="3" t="s">
        <v>1892</v>
      </c>
      <c r="D132" s="3" t="s">
        <v>1896</v>
      </c>
      <c r="E132" s="22"/>
      <c r="F132" s="22"/>
      <c r="G132" s="22"/>
      <c r="H132" s="3"/>
      <c r="I132" s="3" t="s">
        <v>1897</v>
      </c>
    </row>
    <row r="133" spans="1:9" ht="45" customHeight="1" x14ac:dyDescent="0.45">
      <c r="A133" s="19" t="s">
        <v>530</v>
      </c>
      <c r="B133" s="22" t="s">
        <v>1756</v>
      </c>
      <c r="C133" s="3" t="s">
        <v>1892</v>
      </c>
      <c r="D133" s="3" t="s">
        <v>1898</v>
      </c>
      <c r="E133" s="22"/>
      <c r="F133" s="22"/>
      <c r="G133" s="22"/>
      <c r="H133" s="3"/>
      <c r="I133" s="3" t="s">
        <v>1868</v>
      </c>
    </row>
    <row r="134" spans="1:9" ht="45" customHeight="1" x14ac:dyDescent="0.45">
      <c r="A134" s="19" t="s">
        <v>530</v>
      </c>
      <c r="B134" s="22" t="s">
        <v>1756</v>
      </c>
      <c r="C134" s="3" t="s">
        <v>1892</v>
      </c>
      <c r="D134" s="3" t="s">
        <v>1899</v>
      </c>
      <c r="E134" s="22"/>
      <c r="F134" s="22"/>
      <c r="G134" s="22"/>
      <c r="H134" s="3"/>
      <c r="I134" s="3" t="s">
        <v>1900</v>
      </c>
    </row>
    <row r="135" spans="1:9" ht="18" customHeight="1" x14ac:dyDescent="0.45">
      <c r="A135" s="19" t="s">
        <v>530</v>
      </c>
      <c r="B135" s="22" t="s">
        <v>1765</v>
      </c>
      <c r="C135" s="3" t="s">
        <v>1892</v>
      </c>
      <c r="D135" s="3" t="s">
        <v>1901</v>
      </c>
      <c r="E135" s="48">
        <v>14</v>
      </c>
      <c r="F135" s="22" t="s">
        <v>1831</v>
      </c>
      <c r="G135" s="22">
        <v>2024</v>
      </c>
      <c r="H135" s="3" t="s">
        <v>9</v>
      </c>
      <c r="I135" s="3" t="s">
        <v>1897</v>
      </c>
    </row>
    <row r="136" spans="1:9" ht="18" customHeight="1" x14ac:dyDescent="0.45">
      <c r="A136" s="19" t="s">
        <v>530</v>
      </c>
      <c r="B136" s="22" t="s">
        <v>1765</v>
      </c>
      <c r="C136" s="3" t="s">
        <v>1892</v>
      </c>
      <c r="D136" s="3" t="s">
        <v>1902</v>
      </c>
      <c r="E136" s="48">
        <v>22</v>
      </c>
      <c r="F136" s="22" t="s">
        <v>1831</v>
      </c>
      <c r="G136" s="22">
        <v>2024</v>
      </c>
      <c r="H136" s="3" t="s">
        <v>9</v>
      </c>
      <c r="I136" s="3" t="s">
        <v>1897</v>
      </c>
    </row>
    <row r="137" spans="1:9" ht="18" customHeight="1" x14ac:dyDescent="0.45">
      <c r="A137" s="19" t="s">
        <v>530</v>
      </c>
      <c r="B137" s="22" t="s">
        <v>1765</v>
      </c>
      <c r="C137" s="3" t="s">
        <v>1892</v>
      </c>
      <c r="D137" s="3" t="s">
        <v>1903</v>
      </c>
      <c r="E137" s="48">
        <v>9</v>
      </c>
      <c r="F137" s="22" t="s">
        <v>1831</v>
      </c>
      <c r="G137" s="22">
        <v>2024</v>
      </c>
      <c r="H137" s="3" t="s">
        <v>9</v>
      </c>
      <c r="I137" s="3" t="s">
        <v>1897</v>
      </c>
    </row>
    <row r="138" spans="1:9" ht="18" customHeight="1" x14ac:dyDescent="0.45">
      <c r="A138" s="19" t="s">
        <v>530</v>
      </c>
      <c r="B138" s="22" t="s">
        <v>1765</v>
      </c>
      <c r="C138" s="3" t="s">
        <v>1892</v>
      </c>
      <c r="D138" s="3" t="s">
        <v>1901</v>
      </c>
      <c r="E138" s="48">
        <v>153</v>
      </c>
      <c r="F138" s="22" t="s">
        <v>1831</v>
      </c>
      <c r="G138" s="22">
        <v>2025</v>
      </c>
      <c r="H138" s="3" t="s">
        <v>11</v>
      </c>
      <c r="I138" s="3" t="s">
        <v>1904</v>
      </c>
    </row>
    <row r="139" spans="1:9" ht="18" customHeight="1" x14ac:dyDescent="0.45">
      <c r="A139" s="19" t="s">
        <v>530</v>
      </c>
      <c r="B139" s="22" t="s">
        <v>1765</v>
      </c>
      <c r="C139" s="3" t="s">
        <v>1892</v>
      </c>
      <c r="D139" s="3" t="s">
        <v>1902</v>
      </c>
      <c r="E139" s="48">
        <v>86</v>
      </c>
      <c r="F139" s="22" t="s">
        <v>1831</v>
      </c>
      <c r="G139" s="22">
        <v>2025</v>
      </c>
      <c r="H139" s="3" t="s">
        <v>11</v>
      </c>
      <c r="I139" s="3" t="s">
        <v>1904</v>
      </c>
    </row>
    <row r="140" spans="1:9" ht="18" customHeight="1" x14ac:dyDescent="0.45">
      <c r="A140" s="19" t="s">
        <v>530</v>
      </c>
      <c r="B140" s="22" t="s">
        <v>1765</v>
      </c>
      <c r="C140" s="3" t="s">
        <v>1892</v>
      </c>
      <c r="D140" s="3" t="s">
        <v>1905</v>
      </c>
      <c r="E140" s="48">
        <v>3</v>
      </c>
      <c r="F140" s="22" t="s">
        <v>1831</v>
      </c>
      <c r="G140" s="22">
        <v>2025</v>
      </c>
      <c r="H140" s="3" t="s">
        <v>11</v>
      </c>
      <c r="I140" s="3" t="s">
        <v>1904</v>
      </c>
    </row>
    <row r="141" spans="1:9" ht="18" customHeight="1" x14ac:dyDescent="0.45">
      <c r="A141" s="19" t="s">
        <v>530</v>
      </c>
      <c r="B141" s="22" t="s">
        <v>1765</v>
      </c>
      <c r="C141" s="3" t="s">
        <v>1892</v>
      </c>
      <c r="D141" s="3" t="s">
        <v>1906</v>
      </c>
      <c r="E141" s="48">
        <v>23</v>
      </c>
      <c r="F141" s="22" t="s">
        <v>1831</v>
      </c>
      <c r="G141" s="22">
        <v>2025</v>
      </c>
      <c r="H141" s="3" t="s">
        <v>11</v>
      </c>
      <c r="I141" s="3" t="s">
        <v>1904</v>
      </c>
    </row>
    <row r="142" spans="1:9" ht="18" customHeight="1" x14ac:dyDescent="0.45">
      <c r="A142" s="19" t="s">
        <v>530</v>
      </c>
      <c r="B142" s="22" t="s">
        <v>1765</v>
      </c>
      <c r="C142" s="3" t="s">
        <v>1892</v>
      </c>
      <c r="D142" s="3" t="s">
        <v>1901</v>
      </c>
      <c r="E142" s="48">
        <v>423</v>
      </c>
      <c r="F142" s="22" t="s">
        <v>1831</v>
      </c>
      <c r="G142" s="22">
        <v>2026</v>
      </c>
      <c r="H142" s="3" t="s">
        <v>11</v>
      </c>
      <c r="I142" s="3" t="s">
        <v>1900</v>
      </c>
    </row>
    <row r="143" spans="1:9" ht="18" customHeight="1" x14ac:dyDescent="0.45">
      <c r="A143" s="19" t="s">
        <v>530</v>
      </c>
      <c r="B143" s="22" t="s">
        <v>1765</v>
      </c>
      <c r="C143" s="3" t="s">
        <v>1892</v>
      </c>
      <c r="D143" s="3" t="s">
        <v>1902</v>
      </c>
      <c r="E143" s="48">
        <v>48</v>
      </c>
      <c r="F143" s="22" t="s">
        <v>1831</v>
      </c>
      <c r="G143" s="22">
        <v>2026</v>
      </c>
      <c r="H143" s="3" t="s">
        <v>11</v>
      </c>
      <c r="I143" s="3" t="s">
        <v>1900</v>
      </c>
    </row>
    <row r="144" spans="1:9" ht="18" customHeight="1" x14ac:dyDescent="0.45">
      <c r="A144" s="19" t="s">
        <v>530</v>
      </c>
      <c r="B144" s="22" t="s">
        <v>1765</v>
      </c>
      <c r="C144" s="3" t="s">
        <v>1892</v>
      </c>
      <c r="D144" s="3" t="s">
        <v>1905</v>
      </c>
      <c r="E144" s="48">
        <v>11</v>
      </c>
      <c r="F144" s="22" t="s">
        <v>1831</v>
      </c>
      <c r="G144" s="22">
        <v>2026</v>
      </c>
      <c r="H144" s="3" t="s">
        <v>11</v>
      </c>
      <c r="I144" s="3" t="s">
        <v>1900</v>
      </c>
    </row>
    <row r="145" spans="1:9" ht="18" customHeight="1" x14ac:dyDescent="0.45">
      <c r="A145" s="19" t="s">
        <v>530</v>
      </c>
      <c r="B145" s="22" t="s">
        <v>1765</v>
      </c>
      <c r="C145" s="3" t="s">
        <v>1892</v>
      </c>
      <c r="D145" s="3" t="s">
        <v>1906</v>
      </c>
      <c r="E145" s="48">
        <v>97</v>
      </c>
      <c r="F145" s="22" t="s">
        <v>1831</v>
      </c>
      <c r="G145" s="22">
        <v>2026</v>
      </c>
      <c r="H145" s="3" t="s">
        <v>11</v>
      </c>
      <c r="I145" s="3" t="s">
        <v>1900</v>
      </c>
    </row>
    <row r="146" spans="1:9" ht="30" customHeight="1" x14ac:dyDescent="0.45">
      <c r="A146" s="19" t="s">
        <v>530</v>
      </c>
      <c r="B146" s="22" t="s">
        <v>1756</v>
      </c>
      <c r="C146" s="3" t="s">
        <v>1907</v>
      </c>
      <c r="D146" s="3" t="s">
        <v>1908</v>
      </c>
      <c r="E146" s="22"/>
      <c r="F146" s="22"/>
      <c r="G146" s="22"/>
      <c r="H146" s="3"/>
      <c r="I146" s="3" t="s">
        <v>1847</v>
      </c>
    </row>
    <row r="147" spans="1:9" ht="30" customHeight="1" x14ac:dyDescent="0.45">
      <c r="A147" s="19" t="s">
        <v>530</v>
      </c>
      <c r="B147" s="22" t="s">
        <v>1756</v>
      </c>
      <c r="C147" s="3" t="s">
        <v>1907</v>
      </c>
      <c r="D147" s="3" t="s">
        <v>1909</v>
      </c>
      <c r="E147" s="22"/>
      <c r="F147" s="22"/>
      <c r="G147" s="22"/>
      <c r="H147" s="3"/>
      <c r="I147" s="3" t="s">
        <v>1847</v>
      </c>
    </row>
    <row r="148" spans="1:9" ht="30" customHeight="1" x14ac:dyDescent="0.45">
      <c r="A148" s="19" t="s">
        <v>530</v>
      </c>
      <c r="B148" s="22" t="s">
        <v>1756</v>
      </c>
      <c r="C148" s="3" t="s">
        <v>1907</v>
      </c>
      <c r="D148" s="3" t="s">
        <v>1910</v>
      </c>
      <c r="E148" s="22"/>
      <c r="F148" s="22"/>
      <c r="G148" s="22"/>
      <c r="H148" s="3"/>
      <c r="I148" s="3" t="s">
        <v>1868</v>
      </c>
    </row>
    <row r="149" spans="1:9" ht="30" customHeight="1" x14ac:dyDescent="0.45">
      <c r="A149" s="19" t="s">
        <v>532</v>
      </c>
      <c r="B149" s="22" t="s">
        <v>1696</v>
      </c>
      <c r="C149" s="3"/>
      <c r="D149" s="3" t="s">
        <v>1911</v>
      </c>
      <c r="E149" s="22"/>
      <c r="F149" s="22"/>
      <c r="G149" s="22"/>
      <c r="H149" s="3"/>
      <c r="I149" s="3" t="s">
        <v>1912</v>
      </c>
    </row>
    <row r="150" spans="1:9" ht="30" customHeight="1" x14ac:dyDescent="0.45">
      <c r="A150" s="19" t="s">
        <v>532</v>
      </c>
      <c r="B150" s="22" t="s">
        <v>1696</v>
      </c>
      <c r="C150" s="3"/>
      <c r="D150" s="3" t="s">
        <v>1913</v>
      </c>
      <c r="E150" s="22"/>
      <c r="F150" s="22"/>
      <c r="G150" s="22"/>
      <c r="H150" s="3"/>
      <c r="I150" s="3" t="s">
        <v>1914</v>
      </c>
    </row>
    <row r="151" spans="1:9" ht="30" customHeight="1" x14ac:dyDescent="0.45">
      <c r="A151" s="19" t="s">
        <v>532</v>
      </c>
      <c r="B151" s="22" t="s">
        <v>1696</v>
      </c>
      <c r="C151" s="3"/>
      <c r="D151" s="3" t="s">
        <v>1915</v>
      </c>
      <c r="E151" s="22"/>
      <c r="F151" s="22"/>
      <c r="G151" s="22"/>
      <c r="H151" s="3"/>
      <c r="I151" s="3" t="s">
        <v>1916</v>
      </c>
    </row>
    <row r="152" spans="1:9" ht="18" customHeight="1" x14ac:dyDescent="0.45">
      <c r="A152" s="19" t="s">
        <v>532</v>
      </c>
      <c r="B152" s="22" t="s">
        <v>1696</v>
      </c>
      <c r="C152" s="3"/>
      <c r="D152" s="3" t="s">
        <v>1917</v>
      </c>
      <c r="E152" s="22"/>
      <c r="F152" s="22"/>
      <c r="G152" s="22"/>
      <c r="H152" s="3"/>
      <c r="I152" s="3" t="s">
        <v>1918</v>
      </c>
    </row>
    <row r="153" spans="1:9" ht="18" customHeight="1" x14ac:dyDescent="0.45">
      <c r="A153" s="19" t="s">
        <v>532</v>
      </c>
      <c r="B153" s="22" t="s">
        <v>1696</v>
      </c>
      <c r="C153" s="3"/>
      <c r="D153" s="3" t="s">
        <v>1919</v>
      </c>
      <c r="E153" s="22"/>
      <c r="F153" s="22"/>
      <c r="G153" s="22"/>
      <c r="H153" s="3"/>
      <c r="I153" s="3" t="s">
        <v>1920</v>
      </c>
    </row>
    <row r="154" spans="1:9" ht="30" customHeight="1" x14ac:dyDescent="0.45">
      <c r="A154" s="19" t="s">
        <v>532</v>
      </c>
      <c r="B154" s="22" t="s">
        <v>1706</v>
      </c>
      <c r="C154" s="3"/>
      <c r="D154" s="3" t="s">
        <v>1921</v>
      </c>
      <c r="E154" s="22"/>
      <c r="F154" s="22"/>
      <c r="G154" s="22"/>
      <c r="H154" s="3"/>
      <c r="I154" s="3" t="s">
        <v>1912</v>
      </c>
    </row>
    <row r="155" spans="1:9" ht="18" customHeight="1" x14ac:dyDescent="0.45">
      <c r="A155" s="19" t="s">
        <v>532</v>
      </c>
      <c r="B155" s="22" t="s">
        <v>1706</v>
      </c>
      <c r="C155" s="3"/>
      <c r="D155" s="3" t="s">
        <v>1922</v>
      </c>
      <c r="E155" s="22"/>
      <c r="F155" s="22"/>
      <c r="G155" s="22"/>
      <c r="H155" s="3"/>
      <c r="I155" s="3" t="s">
        <v>1923</v>
      </c>
    </row>
    <row r="156" spans="1:9" ht="18" customHeight="1" x14ac:dyDescent="0.45">
      <c r="A156" s="19" t="s">
        <v>532</v>
      </c>
      <c r="B156" s="22" t="s">
        <v>1706</v>
      </c>
      <c r="C156" s="3"/>
      <c r="D156" s="3" t="s">
        <v>1924</v>
      </c>
      <c r="E156" s="22"/>
      <c r="F156" s="22"/>
      <c r="G156" s="22"/>
      <c r="H156" s="3"/>
      <c r="I156" s="3" t="s">
        <v>1925</v>
      </c>
    </row>
    <row r="157" spans="1:9" ht="30" customHeight="1" x14ac:dyDescent="0.45">
      <c r="A157" s="19" t="s">
        <v>532</v>
      </c>
      <c r="B157" s="22" t="s">
        <v>1706</v>
      </c>
      <c r="C157" s="3"/>
      <c r="D157" s="3" t="s">
        <v>1926</v>
      </c>
      <c r="E157" s="22"/>
      <c r="F157" s="22"/>
      <c r="G157" s="22"/>
      <c r="H157" s="3"/>
      <c r="I157" s="3" t="s">
        <v>1923</v>
      </c>
    </row>
    <row r="158" spans="1:9" ht="30" customHeight="1" x14ac:dyDescent="0.45">
      <c r="A158" s="19" t="s">
        <v>532</v>
      </c>
      <c r="B158" s="22" t="s">
        <v>1720</v>
      </c>
      <c r="C158" s="3"/>
      <c r="D158" s="3" t="s">
        <v>1927</v>
      </c>
      <c r="E158" s="22"/>
      <c r="F158" s="22"/>
      <c r="G158" s="22"/>
      <c r="H158" s="3"/>
      <c r="I158" s="3" t="s">
        <v>1928</v>
      </c>
    </row>
    <row r="159" spans="1:9" ht="30" customHeight="1" x14ac:dyDescent="0.45">
      <c r="A159" s="19" t="s">
        <v>532</v>
      </c>
      <c r="B159" s="22" t="s">
        <v>1720</v>
      </c>
      <c r="C159" s="3"/>
      <c r="D159" s="3" t="s">
        <v>1929</v>
      </c>
      <c r="E159" s="22"/>
      <c r="F159" s="22"/>
      <c r="G159" s="22"/>
      <c r="H159" s="3"/>
      <c r="I159" s="3" t="s">
        <v>1930</v>
      </c>
    </row>
    <row r="160" spans="1:9" ht="30" customHeight="1" x14ac:dyDescent="0.45">
      <c r="A160" s="19" t="s">
        <v>532</v>
      </c>
      <c r="B160" s="22" t="s">
        <v>1720</v>
      </c>
      <c r="C160" s="3"/>
      <c r="D160" s="3" t="s">
        <v>1931</v>
      </c>
      <c r="E160" s="22"/>
      <c r="F160" s="22"/>
      <c r="G160" s="22"/>
      <c r="H160" s="3"/>
      <c r="I160" s="3" t="s">
        <v>1925</v>
      </c>
    </row>
    <row r="161" spans="1:9" ht="30" customHeight="1" x14ac:dyDescent="0.45">
      <c r="A161" s="19" t="s">
        <v>532</v>
      </c>
      <c r="B161" s="22" t="s">
        <v>1720</v>
      </c>
      <c r="C161" s="3"/>
      <c r="D161" s="3" t="s">
        <v>1932</v>
      </c>
      <c r="E161" s="22"/>
      <c r="F161" s="22"/>
      <c r="G161" s="22"/>
      <c r="H161" s="3"/>
      <c r="I161" s="3" t="s">
        <v>1933</v>
      </c>
    </row>
    <row r="162" spans="1:9" ht="30" customHeight="1" x14ac:dyDescent="0.45">
      <c r="A162" s="19" t="s">
        <v>532</v>
      </c>
      <c r="B162" s="22" t="s">
        <v>1720</v>
      </c>
      <c r="C162" s="3"/>
      <c r="D162" s="3" t="s">
        <v>1934</v>
      </c>
      <c r="E162" s="22"/>
      <c r="F162" s="22"/>
      <c r="G162" s="22"/>
      <c r="H162" s="3"/>
      <c r="I162" s="3" t="s">
        <v>1933</v>
      </c>
    </row>
    <row r="163" spans="1:9" ht="18" customHeight="1" x14ac:dyDescent="0.45">
      <c r="A163" s="19" t="s">
        <v>532</v>
      </c>
      <c r="B163" s="22" t="s">
        <v>1726</v>
      </c>
      <c r="C163" s="3"/>
      <c r="D163" s="3" t="s">
        <v>1935</v>
      </c>
      <c r="E163" s="22"/>
      <c r="F163" s="22"/>
      <c r="G163" s="22"/>
      <c r="H163" s="3"/>
      <c r="I163" s="3" t="s">
        <v>1936</v>
      </c>
    </row>
    <row r="164" spans="1:9" ht="30" customHeight="1" x14ac:dyDescent="0.45">
      <c r="A164" s="19" t="s">
        <v>532</v>
      </c>
      <c r="B164" s="22" t="s">
        <v>1726</v>
      </c>
      <c r="C164" s="3"/>
      <c r="D164" s="3" t="s">
        <v>1937</v>
      </c>
      <c r="E164" s="22"/>
      <c r="F164" s="22"/>
      <c r="G164" s="22"/>
      <c r="H164" s="3"/>
      <c r="I164" s="3" t="s">
        <v>1938</v>
      </c>
    </row>
    <row r="165" spans="1:9" ht="30" customHeight="1" x14ac:dyDescent="0.45">
      <c r="A165" s="19" t="s">
        <v>532</v>
      </c>
      <c r="B165" s="22" t="s">
        <v>1726</v>
      </c>
      <c r="C165" s="3"/>
      <c r="D165" s="3" t="s">
        <v>1939</v>
      </c>
      <c r="E165" s="22"/>
      <c r="F165" s="22"/>
      <c r="G165" s="22"/>
      <c r="H165" s="3"/>
      <c r="I165" s="3" t="s">
        <v>1940</v>
      </c>
    </row>
    <row r="166" spans="1:9" ht="30" customHeight="1" x14ac:dyDescent="0.45">
      <c r="A166" s="19" t="s">
        <v>532</v>
      </c>
      <c r="B166" s="22" t="s">
        <v>1726</v>
      </c>
      <c r="C166" s="3"/>
      <c r="D166" s="3" t="s">
        <v>1941</v>
      </c>
      <c r="E166" s="22"/>
      <c r="F166" s="22"/>
      <c r="G166" s="22"/>
      <c r="H166" s="3"/>
      <c r="I166" s="3" t="s">
        <v>1942</v>
      </c>
    </row>
    <row r="167" spans="1:9" ht="30" customHeight="1" x14ac:dyDescent="0.45">
      <c r="A167" s="19" t="s">
        <v>532</v>
      </c>
      <c r="B167" s="22" t="s">
        <v>1726</v>
      </c>
      <c r="C167" s="3"/>
      <c r="D167" s="3" t="s">
        <v>1943</v>
      </c>
      <c r="E167" s="22"/>
      <c r="F167" s="22"/>
      <c r="G167" s="22"/>
      <c r="H167" s="3"/>
      <c r="I167" s="3" t="s">
        <v>1920</v>
      </c>
    </row>
    <row r="168" spans="1:9" ht="30" customHeight="1" x14ac:dyDescent="0.45">
      <c r="A168" s="19" t="s">
        <v>532</v>
      </c>
      <c r="B168" s="22" t="s">
        <v>894</v>
      </c>
      <c r="C168" s="3"/>
      <c r="D168" s="3" t="s">
        <v>1944</v>
      </c>
      <c r="E168" s="22"/>
      <c r="F168" s="22"/>
      <c r="G168" s="22"/>
      <c r="H168" s="3"/>
      <c r="I168" s="3" t="s">
        <v>1945</v>
      </c>
    </row>
    <row r="169" spans="1:9" ht="30" customHeight="1" x14ac:dyDescent="0.45">
      <c r="A169" s="19" t="s">
        <v>532</v>
      </c>
      <c r="B169" s="22" t="s">
        <v>894</v>
      </c>
      <c r="C169" s="3"/>
      <c r="D169" s="3" t="s">
        <v>1946</v>
      </c>
      <c r="E169" s="22"/>
      <c r="F169" s="22"/>
      <c r="G169" s="22"/>
      <c r="H169" s="3"/>
      <c r="I169" s="3" t="s">
        <v>1912</v>
      </c>
    </row>
    <row r="170" spans="1:9" ht="30" customHeight="1" x14ac:dyDescent="0.45">
      <c r="A170" s="19" t="s">
        <v>532</v>
      </c>
      <c r="B170" s="22" t="s">
        <v>894</v>
      </c>
      <c r="C170" s="3"/>
      <c r="D170" s="3" t="s">
        <v>1947</v>
      </c>
      <c r="E170" s="22"/>
      <c r="F170" s="22"/>
      <c r="G170" s="22"/>
      <c r="H170" s="3"/>
      <c r="I170" s="3" t="s">
        <v>1918</v>
      </c>
    </row>
    <row r="171" spans="1:9" ht="18" customHeight="1" x14ac:dyDescent="0.45">
      <c r="A171" s="19" t="s">
        <v>532</v>
      </c>
      <c r="B171" s="22" t="s">
        <v>894</v>
      </c>
      <c r="C171" s="3"/>
      <c r="D171" s="3" t="s">
        <v>1948</v>
      </c>
      <c r="E171" s="22"/>
      <c r="F171" s="22"/>
      <c r="G171" s="22"/>
      <c r="H171" s="3"/>
      <c r="I171" s="3" t="s">
        <v>1949</v>
      </c>
    </row>
    <row r="172" spans="1:9" ht="30" customHeight="1" x14ac:dyDescent="0.45">
      <c r="A172" s="19" t="s">
        <v>532</v>
      </c>
      <c r="B172" s="22" t="s">
        <v>894</v>
      </c>
      <c r="C172" s="3"/>
      <c r="D172" s="3" t="s">
        <v>1950</v>
      </c>
      <c r="E172" s="22"/>
      <c r="F172" s="22"/>
      <c r="G172" s="22"/>
      <c r="H172" s="3"/>
      <c r="I172" s="3" t="s">
        <v>1925</v>
      </c>
    </row>
    <row r="173" spans="1:9" ht="18" customHeight="1" x14ac:dyDescent="0.45">
      <c r="A173" s="19" t="s">
        <v>532</v>
      </c>
      <c r="B173" s="22" t="s">
        <v>898</v>
      </c>
      <c r="C173" s="3"/>
      <c r="D173" s="3" t="s">
        <v>1951</v>
      </c>
      <c r="E173" s="22"/>
      <c r="F173" s="22"/>
      <c r="G173" s="22"/>
      <c r="H173" s="3"/>
      <c r="I173" s="3" t="s">
        <v>1918</v>
      </c>
    </row>
    <row r="174" spans="1:9" ht="30" customHeight="1" x14ac:dyDescent="0.45">
      <c r="A174" s="19" t="s">
        <v>532</v>
      </c>
      <c r="B174" s="22" t="s">
        <v>898</v>
      </c>
      <c r="C174" s="3"/>
      <c r="D174" s="3" t="s">
        <v>1952</v>
      </c>
      <c r="E174" s="22"/>
      <c r="F174" s="22"/>
      <c r="G174" s="22"/>
      <c r="H174" s="3"/>
      <c r="I174" s="3" t="s">
        <v>1953</v>
      </c>
    </row>
    <row r="175" spans="1:9" ht="30" customHeight="1" x14ac:dyDescent="0.45">
      <c r="A175" s="19" t="s">
        <v>532</v>
      </c>
      <c r="B175" s="22" t="s">
        <v>898</v>
      </c>
      <c r="C175" s="3"/>
      <c r="D175" s="3" t="s">
        <v>1954</v>
      </c>
      <c r="E175" s="22"/>
      <c r="F175" s="22"/>
      <c r="G175" s="22"/>
      <c r="H175" s="3"/>
      <c r="I175" s="3" t="s">
        <v>1955</v>
      </c>
    </row>
    <row r="176" spans="1:9" ht="18" customHeight="1" x14ac:dyDescent="0.45">
      <c r="A176" s="19" t="s">
        <v>532</v>
      </c>
      <c r="B176" s="22" t="s">
        <v>898</v>
      </c>
      <c r="C176" s="3"/>
      <c r="D176" s="3" t="s">
        <v>1956</v>
      </c>
      <c r="E176" s="22"/>
      <c r="F176" s="22"/>
      <c r="G176" s="22"/>
      <c r="H176" s="3"/>
      <c r="I176" s="3" t="s">
        <v>1957</v>
      </c>
    </row>
    <row r="177" spans="1:9" ht="18" customHeight="1" x14ac:dyDescent="0.45">
      <c r="A177" s="19" t="s">
        <v>532</v>
      </c>
      <c r="B177" s="22" t="s">
        <v>898</v>
      </c>
      <c r="C177" s="3"/>
      <c r="D177" s="3" t="s">
        <v>1958</v>
      </c>
      <c r="E177" s="22"/>
      <c r="F177" s="22"/>
      <c r="G177" s="22"/>
      <c r="H177" s="3"/>
      <c r="I177" s="3" t="s">
        <v>1920</v>
      </c>
    </row>
    <row r="178" spans="1:9" ht="18" customHeight="1" x14ac:dyDescent="0.45">
      <c r="A178" s="19" t="s">
        <v>532</v>
      </c>
      <c r="B178" s="22" t="s">
        <v>1749</v>
      </c>
      <c r="C178" s="3" t="s">
        <v>1959</v>
      </c>
      <c r="D178" s="3"/>
      <c r="E178" s="48">
        <v>10700000</v>
      </c>
      <c r="F178" s="22" t="s">
        <v>1751</v>
      </c>
      <c r="G178" s="22">
        <v>2024</v>
      </c>
      <c r="H178" s="3" t="s">
        <v>1752</v>
      </c>
      <c r="I178" s="3" t="s">
        <v>1930</v>
      </c>
    </row>
    <row r="179" spans="1:9" ht="18" customHeight="1" x14ac:dyDescent="0.45">
      <c r="A179" s="19" t="s">
        <v>532</v>
      </c>
      <c r="B179" s="22" t="s">
        <v>1749</v>
      </c>
      <c r="C179" s="3" t="s">
        <v>1960</v>
      </c>
      <c r="D179" s="3"/>
      <c r="E179" s="48">
        <v>1230000</v>
      </c>
      <c r="F179" s="22" t="s">
        <v>1751</v>
      </c>
      <c r="G179" s="22">
        <v>2024</v>
      </c>
      <c r="H179" s="3" t="s">
        <v>1752</v>
      </c>
      <c r="I179" s="3" t="s">
        <v>1930</v>
      </c>
    </row>
    <row r="180" spans="1:9" ht="18" customHeight="1" x14ac:dyDescent="0.45">
      <c r="A180" s="19" t="s">
        <v>532</v>
      </c>
      <c r="B180" s="22" t="s">
        <v>1749</v>
      </c>
      <c r="C180" s="3" t="s">
        <v>1961</v>
      </c>
      <c r="D180" s="3"/>
      <c r="E180" s="48">
        <v>8300000</v>
      </c>
      <c r="F180" s="22" t="s">
        <v>1751</v>
      </c>
      <c r="G180" s="22">
        <v>2024</v>
      </c>
      <c r="H180" s="3" t="s">
        <v>1884</v>
      </c>
      <c r="I180" s="3" t="s">
        <v>1933</v>
      </c>
    </row>
    <row r="181" spans="1:9" ht="18" customHeight="1" x14ac:dyDescent="0.45">
      <c r="A181" s="19" t="s">
        <v>532</v>
      </c>
      <c r="B181" s="22" t="s">
        <v>1749</v>
      </c>
      <c r="C181" s="3" t="s">
        <v>1962</v>
      </c>
      <c r="D181" s="3"/>
      <c r="E181" s="48">
        <v>390000</v>
      </c>
      <c r="F181" s="22" t="s">
        <v>1751</v>
      </c>
      <c r="G181" s="22">
        <v>2024</v>
      </c>
      <c r="H181" s="3" t="s">
        <v>1752</v>
      </c>
      <c r="I181" s="3" t="s">
        <v>1933</v>
      </c>
    </row>
    <row r="182" spans="1:9" ht="18" customHeight="1" x14ac:dyDescent="0.45">
      <c r="A182" s="19" t="s">
        <v>532</v>
      </c>
      <c r="B182" s="22" t="s">
        <v>1749</v>
      </c>
      <c r="C182" s="3" t="s">
        <v>1963</v>
      </c>
      <c r="D182" s="3"/>
      <c r="E182" s="48">
        <v>164545</v>
      </c>
      <c r="F182" s="22" t="s">
        <v>1751</v>
      </c>
      <c r="G182" s="22">
        <v>2024</v>
      </c>
      <c r="H182" s="3" t="s">
        <v>1884</v>
      </c>
      <c r="I182" s="3" t="s">
        <v>1933</v>
      </c>
    </row>
    <row r="183" spans="1:9" ht="30" customHeight="1" x14ac:dyDescent="0.45">
      <c r="A183" s="19" t="s">
        <v>532</v>
      </c>
      <c r="B183" s="22" t="s">
        <v>1756</v>
      </c>
      <c r="C183" s="3" t="s">
        <v>1964</v>
      </c>
      <c r="D183" s="3" t="s">
        <v>1965</v>
      </c>
      <c r="E183" s="22"/>
      <c r="F183" s="22"/>
      <c r="G183" s="22"/>
      <c r="H183" s="3"/>
      <c r="I183" s="3" t="s">
        <v>1942</v>
      </c>
    </row>
    <row r="184" spans="1:9" ht="30" customHeight="1" x14ac:dyDescent="0.45">
      <c r="A184" s="19" t="s">
        <v>532</v>
      </c>
      <c r="B184" s="22" t="s">
        <v>1756</v>
      </c>
      <c r="C184" s="3" t="s">
        <v>1964</v>
      </c>
      <c r="D184" s="3" t="s">
        <v>1966</v>
      </c>
      <c r="E184" s="22"/>
      <c r="F184" s="22"/>
      <c r="G184" s="22"/>
      <c r="H184" s="3"/>
      <c r="I184" s="3" t="s">
        <v>1967</v>
      </c>
    </row>
    <row r="185" spans="1:9" ht="30" customHeight="1" x14ac:dyDescent="0.45">
      <c r="A185" s="19" t="s">
        <v>532</v>
      </c>
      <c r="B185" s="22" t="s">
        <v>1756</v>
      </c>
      <c r="C185" s="3" t="s">
        <v>1964</v>
      </c>
      <c r="D185" s="3" t="s">
        <v>1968</v>
      </c>
      <c r="E185" s="22"/>
      <c r="F185" s="22"/>
      <c r="G185" s="22"/>
      <c r="H185" s="3"/>
      <c r="I185" s="3" t="s">
        <v>1925</v>
      </c>
    </row>
    <row r="186" spans="1:9" ht="30" customHeight="1" x14ac:dyDescent="0.45">
      <c r="A186" s="19" t="s">
        <v>532</v>
      </c>
      <c r="B186" s="22" t="s">
        <v>1756</v>
      </c>
      <c r="C186" s="3" t="s">
        <v>1964</v>
      </c>
      <c r="D186" s="3" t="s">
        <v>1969</v>
      </c>
      <c r="E186" s="22"/>
      <c r="F186" s="22"/>
      <c r="G186" s="22"/>
      <c r="H186" s="3"/>
      <c r="I186" s="3" t="s">
        <v>1970</v>
      </c>
    </row>
    <row r="187" spans="1:9" ht="30" customHeight="1" x14ac:dyDescent="0.45">
      <c r="A187" s="19" t="s">
        <v>532</v>
      </c>
      <c r="B187" s="22" t="s">
        <v>1756</v>
      </c>
      <c r="C187" s="3" t="s">
        <v>1964</v>
      </c>
      <c r="D187" s="3" t="s">
        <v>1971</v>
      </c>
      <c r="E187" s="22"/>
      <c r="F187" s="22"/>
      <c r="G187" s="22"/>
      <c r="H187" s="3"/>
      <c r="I187" s="3" t="s">
        <v>1972</v>
      </c>
    </row>
    <row r="188" spans="1:9" ht="18" customHeight="1" x14ac:dyDescent="0.45">
      <c r="A188" s="19" t="s">
        <v>532</v>
      </c>
      <c r="B188" s="22" t="s">
        <v>1765</v>
      </c>
      <c r="C188" s="3" t="s">
        <v>1964</v>
      </c>
      <c r="D188" s="3" t="s">
        <v>1973</v>
      </c>
      <c r="E188" s="48">
        <v>5475</v>
      </c>
      <c r="F188" s="22" t="s">
        <v>1751</v>
      </c>
      <c r="G188" s="22">
        <v>2025</v>
      </c>
      <c r="H188" s="3" t="s">
        <v>9</v>
      </c>
      <c r="I188" s="3" t="s">
        <v>1972</v>
      </c>
    </row>
    <row r="189" spans="1:9" ht="18" customHeight="1" x14ac:dyDescent="0.45">
      <c r="A189" s="19" t="s">
        <v>532</v>
      </c>
      <c r="B189" s="22" t="s">
        <v>1765</v>
      </c>
      <c r="C189" s="3" t="s">
        <v>1964</v>
      </c>
      <c r="D189" s="3" t="s">
        <v>1974</v>
      </c>
      <c r="E189" s="48">
        <v>85.8</v>
      </c>
      <c r="F189" s="22" t="s">
        <v>1224</v>
      </c>
      <c r="G189" s="22">
        <v>2024</v>
      </c>
      <c r="H189" s="3" t="s">
        <v>9</v>
      </c>
      <c r="I189" s="3" t="s">
        <v>1972</v>
      </c>
    </row>
    <row r="190" spans="1:9" ht="45" customHeight="1" x14ac:dyDescent="0.45">
      <c r="A190" s="19" t="s">
        <v>532</v>
      </c>
      <c r="B190" s="22" t="s">
        <v>1756</v>
      </c>
      <c r="C190" s="3" t="s">
        <v>1975</v>
      </c>
      <c r="D190" s="3" t="s">
        <v>1976</v>
      </c>
      <c r="E190" s="22"/>
      <c r="F190" s="22"/>
      <c r="G190" s="22"/>
      <c r="H190" s="3"/>
      <c r="I190" s="3" t="s">
        <v>1920</v>
      </c>
    </row>
    <row r="191" spans="1:9" ht="45" customHeight="1" x14ac:dyDescent="0.45">
      <c r="A191" s="19" t="s">
        <v>532</v>
      </c>
      <c r="B191" s="22" t="s">
        <v>1756</v>
      </c>
      <c r="C191" s="3" t="s">
        <v>1975</v>
      </c>
      <c r="D191" s="3" t="s">
        <v>1977</v>
      </c>
      <c r="E191" s="22"/>
      <c r="F191" s="22"/>
      <c r="G191" s="22"/>
      <c r="H191" s="3"/>
      <c r="I191" s="3" t="s">
        <v>1920</v>
      </c>
    </row>
    <row r="192" spans="1:9" ht="60" customHeight="1" x14ac:dyDescent="0.45">
      <c r="A192" s="19" t="s">
        <v>532</v>
      </c>
      <c r="B192" s="22" t="s">
        <v>1756</v>
      </c>
      <c r="C192" s="3" t="s">
        <v>1975</v>
      </c>
      <c r="D192" s="3" t="s">
        <v>1978</v>
      </c>
      <c r="E192" s="22"/>
      <c r="F192" s="22"/>
      <c r="G192" s="22"/>
      <c r="H192" s="3"/>
      <c r="I192" s="3" t="s">
        <v>1979</v>
      </c>
    </row>
    <row r="193" spans="1:9" ht="45" customHeight="1" x14ac:dyDescent="0.45">
      <c r="A193" s="19" t="s">
        <v>532</v>
      </c>
      <c r="B193" s="22" t="s">
        <v>1756</v>
      </c>
      <c r="C193" s="3" t="s">
        <v>1975</v>
      </c>
      <c r="D193" s="3" t="s">
        <v>1980</v>
      </c>
      <c r="E193" s="22"/>
      <c r="F193" s="22"/>
      <c r="G193" s="22"/>
      <c r="H193" s="3"/>
      <c r="I193" s="3" t="s">
        <v>1981</v>
      </c>
    </row>
    <row r="194" spans="1:9" ht="30" customHeight="1" x14ac:dyDescent="0.45">
      <c r="A194" s="19" t="s">
        <v>532</v>
      </c>
      <c r="B194" s="22" t="s">
        <v>1756</v>
      </c>
      <c r="C194" s="3" t="s">
        <v>1982</v>
      </c>
      <c r="D194" s="3" t="s">
        <v>1983</v>
      </c>
      <c r="E194" s="22"/>
      <c r="F194" s="22"/>
      <c r="G194" s="22"/>
      <c r="H194" s="3"/>
      <c r="I194" s="3" t="s">
        <v>1957</v>
      </c>
    </row>
    <row r="195" spans="1:9" ht="30" customHeight="1" x14ac:dyDescent="0.45">
      <c r="A195" s="19" t="s">
        <v>532</v>
      </c>
      <c r="B195" s="22" t="s">
        <v>1756</v>
      </c>
      <c r="C195" s="3" t="s">
        <v>1982</v>
      </c>
      <c r="D195" s="3" t="s">
        <v>1984</v>
      </c>
      <c r="E195" s="22"/>
      <c r="F195" s="22"/>
      <c r="G195" s="22"/>
      <c r="H195" s="3"/>
      <c r="I195" s="3" t="s">
        <v>1957</v>
      </c>
    </row>
    <row r="196" spans="1:9" ht="30" customHeight="1" x14ac:dyDescent="0.45">
      <c r="A196" s="19" t="s">
        <v>532</v>
      </c>
      <c r="B196" s="22" t="s">
        <v>1756</v>
      </c>
      <c r="C196" s="3" t="s">
        <v>1982</v>
      </c>
      <c r="D196" s="3" t="s">
        <v>1985</v>
      </c>
      <c r="E196" s="22"/>
      <c r="F196" s="22"/>
      <c r="G196" s="22"/>
      <c r="H196" s="3"/>
      <c r="I196" s="3" t="s">
        <v>1957</v>
      </c>
    </row>
    <row r="197" spans="1:9" ht="30" customHeight="1" x14ac:dyDescent="0.45">
      <c r="A197" s="19" t="s">
        <v>532</v>
      </c>
      <c r="B197" s="22" t="s">
        <v>1756</v>
      </c>
      <c r="C197" s="3" t="s">
        <v>1982</v>
      </c>
      <c r="D197" s="3" t="s">
        <v>1986</v>
      </c>
      <c r="E197" s="22"/>
      <c r="F197" s="22"/>
      <c r="G197" s="22"/>
      <c r="H197" s="3"/>
      <c r="I197" s="3" t="s">
        <v>1920</v>
      </c>
    </row>
    <row r="198" spans="1:9" ht="30" customHeight="1" x14ac:dyDescent="0.45">
      <c r="A198" s="19" t="s">
        <v>532</v>
      </c>
      <c r="B198" s="22" t="s">
        <v>1756</v>
      </c>
      <c r="C198" s="3" t="s">
        <v>1987</v>
      </c>
      <c r="D198" s="3" t="s">
        <v>1988</v>
      </c>
      <c r="E198" s="22"/>
      <c r="F198" s="22"/>
      <c r="G198" s="22"/>
      <c r="H198" s="3"/>
      <c r="I198" s="3" t="s">
        <v>1989</v>
      </c>
    </row>
    <row r="199" spans="1:9" ht="30" customHeight="1" x14ac:dyDescent="0.45">
      <c r="A199" s="19" t="s">
        <v>532</v>
      </c>
      <c r="B199" s="22" t="s">
        <v>1756</v>
      </c>
      <c r="C199" s="3" t="s">
        <v>1987</v>
      </c>
      <c r="D199" s="3" t="s">
        <v>1990</v>
      </c>
      <c r="E199" s="22"/>
      <c r="F199" s="22"/>
      <c r="G199" s="22"/>
      <c r="H199" s="3"/>
      <c r="I199" s="3" t="s">
        <v>1972</v>
      </c>
    </row>
    <row r="200" spans="1:9" ht="18" customHeight="1" x14ac:dyDescent="0.45">
      <c r="A200" s="19" t="s">
        <v>532</v>
      </c>
      <c r="B200" s="22" t="s">
        <v>1756</v>
      </c>
      <c r="C200" s="3" t="s">
        <v>1987</v>
      </c>
      <c r="D200" s="3" t="s">
        <v>1991</v>
      </c>
      <c r="E200" s="22"/>
      <c r="F200" s="22"/>
      <c r="G200" s="22"/>
      <c r="H200" s="3"/>
      <c r="I200" s="3" t="s">
        <v>1970</v>
      </c>
    </row>
    <row r="201" spans="1:9" ht="18" customHeight="1" x14ac:dyDescent="0.45">
      <c r="A201" s="19" t="s">
        <v>532</v>
      </c>
      <c r="B201" s="22" t="s">
        <v>1756</v>
      </c>
      <c r="C201" s="3" t="s">
        <v>1987</v>
      </c>
      <c r="D201" s="3" t="s">
        <v>1992</v>
      </c>
      <c r="E201" s="22"/>
      <c r="F201" s="22"/>
      <c r="G201" s="22"/>
      <c r="H201" s="3"/>
      <c r="I201" s="3" t="s">
        <v>1972</v>
      </c>
    </row>
    <row r="202" spans="1:9" ht="30" customHeight="1" x14ac:dyDescent="0.45">
      <c r="A202" s="19" t="s">
        <v>532</v>
      </c>
      <c r="B202" s="22" t="s">
        <v>1756</v>
      </c>
      <c r="C202" s="3" t="s">
        <v>1987</v>
      </c>
      <c r="D202" s="3" t="s">
        <v>1993</v>
      </c>
      <c r="E202" s="22"/>
      <c r="F202" s="22"/>
      <c r="G202" s="22"/>
      <c r="H202" s="3"/>
      <c r="I202" s="3" t="s">
        <v>1930</v>
      </c>
    </row>
    <row r="203" spans="1:9" ht="18" customHeight="1" x14ac:dyDescent="0.45">
      <c r="A203" s="19" t="s">
        <v>532</v>
      </c>
      <c r="B203" s="22" t="s">
        <v>1765</v>
      </c>
      <c r="C203" s="3" t="s">
        <v>1987</v>
      </c>
      <c r="D203" s="3" t="s">
        <v>1994</v>
      </c>
      <c r="E203" s="48">
        <v>47</v>
      </c>
      <c r="F203" s="22" t="s">
        <v>1751</v>
      </c>
      <c r="G203" s="22">
        <v>2025</v>
      </c>
      <c r="H203" s="3" t="s">
        <v>9</v>
      </c>
      <c r="I203" s="3" t="s">
        <v>1972</v>
      </c>
    </row>
    <row r="204" spans="1:9" ht="18" customHeight="1" x14ac:dyDescent="0.45">
      <c r="A204" s="19" t="s">
        <v>532</v>
      </c>
      <c r="B204" s="22" t="s">
        <v>1765</v>
      </c>
      <c r="C204" s="3" t="s">
        <v>1987</v>
      </c>
      <c r="D204" s="3" t="s">
        <v>1995</v>
      </c>
      <c r="E204" s="48">
        <v>1</v>
      </c>
      <c r="F204" s="22" t="s">
        <v>1224</v>
      </c>
      <c r="G204" s="22">
        <v>2025</v>
      </c>
      <c r="H204" s="3" t="s">
        <v>9</v>
      </c>
      <c r="I204" s="3" t="s">
        <v>1972</v>
      </c>
    </row>
    <row r="205" spans="1:9" ht="30" customHeight="1" x14ac:dyDescent="0.45">
      <c r="A205" s="19" t="s">
        <v>532</v>
      </c>
      <c r="B205" s="22" t="s">
        <v>1756</v>
      </c>
      <c r="C205" s="3" t="s">
        <v>1996</v>
      </c>
      <c r="D205" s="3" t="s">
        <v>1997</v>
      </c>
      <c r="E205" s="22"/>
      <c r="F205" s="22"/>
      <c r="G205" s="22"/>
      <c r="H205" s="3"/>
      <c r="I205" s="3" t="s">
        <v>1998</v>
      </c>
    </row>
    <row r="206" spans="1:9" ht="30" customHeight="1" x14ac:dyDescent="0.45">
      <c r="A206" s="19" t="s">
        <v>532</v>
      </c>
      <c r="B206" s="22" t="s">
        <v>1756</v>
      </c>
      <c r="C206" s="3" t="s">
        <v>1996</v>
      </c>
      <c r="D206" s="3" t="s">
        <v>1999</v>
      </c>
      <c r="E206" s="22"/>
      <c r="F206" s="22"/>
      <c r="G206" s="22"/>
      <c r="H206" s="3"/>
      <c r="I206" s="3" t="s">
        <v>2000</v>
      </c>
    </row>
    <row r="207" spans="1:9" ht="18" customHeight="1" x14ac:dyDescent="0.45">
      <c r="A207" s="19" t="s">
        <v>532</v>
      </c>
      <c r="B207" s="22" t="s">
        <v>1756</v>
      </c>
      <c r="C207" s="3" t="s">
        <v>1996</v>
      </c>
      <c r="D207" s="3" t="s">
        <v>2001</v>
      </c>
      <c r="E207" s="22"/>
      <c r="F207" s="22"/>
      <c r="G207" s="22"/>
      <c r="H207" s="3"/>
      <c r="I207" s="3" t="s">
        <v>1970</v>
      </c>
    </row>
    <row r="208" spans="1:9" ht="18" customHeight="1" x14ac:dyDescent="0.45">
      <c r="A208" s="19" t="s">
        <v>532</v>
      </c>
      <c r="B208" s="22" t="s">
        <v>1756</v>
      </c>
      <c r="C208" s="3" t="s">
        <v>1996</v>
      </c>
      <c r="D208" s="3" t="s">
        <v>2002</v>
      </c>
      <c r="E208" s="22"/>
      <c r="F208" s="22"/>
      <c r="G208" s="22"/>
      <c r="H208" s="3"/>
      <c r="I208" s="3" t="s">
        <v>1970</v>
      </c>
    </row>
  </sheetData>
  <autoFilter ref="A3:I208" xr:uid="{00000000-0009-0000-0000-00000B000000}"/>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2003</v>
      </c>
    </row>
    <row r="3" spans="1:6" ht="22.05" customHeight="1" x14ac:dyDescent="0.5">
      <c r="A3" s="13" t="s">
        <v>2004</v>
      </c>
    </row>
    <row r="4" spans="1:6" ht="30" customHeight="1" x14ac:dyDescent="0.2">
      <c r="A4" s="4" t="s">
        <v>2005</v>
      </c>
      <c r="B4" s="4" t="s">
        <v>2006</v>
      </c>
      <c r="C4" s="4" t="s">
        <v>2007</v>
      </c>
      <c r="D4" s="4" t="s">
        <v>2008</v>
      </c>
      <c r="E4" s="4" t="s">
        <v>522</v>
      </c>
      <c r="F4" s="4"/>
    </row>
    <row r="5" spans="1:6" ht="105" customHeight="1" x14ac:dyDescent="0.45">
      <c r="A5" s="19" t="s">
        <v>2009</v>
      </c>
      <c r="B5" s="3" t="s">
        <v>2010</v>
      </c>
      <c r="C5" s="3" t="s">
        <v>2011</v>
      </c>
      <c r="D5" s="3" t="s">
        <v>2012</v>
      </c>
      <c r="E5" s="3" t="s">
        <v>2013</v>
      </c>
    </row>
    <row r="6" spans="1:6" ht="105" customHeight="1" x14ac:dyDescent="0.45">
      <c r="A6" s="19" t="s">
        <v>2014</v>
      </c>
      <c r="B6" s="3" t="s">
        <v>2015</v>
      </c>
      <c r="C6" s="3" t="s">
        <v>2016</v>
      </c>
      <c r="D6" s="3" t="s">
        <v>2017</v>
      </c>
      <c r="E6" s="3" t="s">
        <v>2018</v>
      </c>
    </row>
    <row r="7" spans="1:6" ht="90" customHeight="1" x14ac:dyDescent="0.45">
      <c r="A7" s="19" t="s">
        <v>2019</v>
      </c>
      <c r="B7" s="3" t="s">
        <v>2020</v>
      </c>
      <c r="C7" s="3" t="s">
        <v>2021</v>
      </c>
      <c r="D7" s="3" t="s">
        <v>2022</v>
      </c>
      <c r="E7" s="3" t="s">
        <v>2023</v>
      </c>
    </row>
    <row r="8" spans="1:6" ht="105" customHeight="1" x14ac:dyDescent="0.45">
      <c r="A8" s="19" t="s">
        <v>1987</v>
      </c>
      <c r="B8" s="3" t="s">
        <v>2024</v>
      </c>
      <c r="C8" s="3" t="s">
        <v>2025</v>
      </c>
      <c r="D8" s="3" t="s">
        <v>2026</v>
      </c>
      <c r="E8" s="3" t="s">
        <v>2027</v>
      </c>
    </row>
    <row r="9" spans="1:6" ht="90" customHeight="1" x14ac:dyDescent="0.45">
      <c r="A9" s="19" t="s">
        <v>2028</v>
      </c>
      <c r="B9" s="3" t="s">
        <v>2029</v>
      </c>
      <c r="C9" s="3" t="s">
        <v>2030</v>
      </c>
      <c r="D9" s="3" t="s">
        <v>2031</v>
      </c>
      <c r="E9" s="3" t="s">
        <v>2032</v>
      </c>
    </row>
    <row r="10" spans="1:6" ht="105" customHeight="1" x14ac:dyDescent="0.45">
      <c r="A10" s="19" t="s">
        <v>2033</v>
      </c>
      <c r="B10" s="3" t="s">
        <v>2034</v>
      </c>
      <c r="C10" s="3" t="s">
        <v>2035</v>
      </c>
      <c r="D10" s="3" t="s">
        <v>2036</v>
      </c>
      <c r="E10" s="3" t="s">
        <v>2037</v>
      </c>
    </row>
    <row r="11" spans="1:6" ht="90" customHeight="1" x14ac:dyDescent="0.45">
      <c r="A11" s="19" t="s">
        <v>2038</v>
      </c>
      <c r="B11" s="3" t="s">
        <v>2039</v>
      </c>
      <c r="C11" s="3" t="s">
        <v>2040</v>
      </c>
      <c r="D11" s="3" t="s">
        <v>2041</v>
      </c>
      <c r="E11" s="3" t="s">
        <v>2042</v>
      </c>
    </row>
    <row r="12" spans="1:6" ht="75" customHeight="1" x14ac:dyDescent="0.45">
      <c r="A12" s="19" t="s">
        <v>2043</v>
      </c>
      <c r="B12" s="3" t="s">
        <v>2044</v>
      </c>
      <c r="C12" s="3" t="s">
        <v>2045</v>
      </c>
      <c r="D12" s="3" t="s">
        <v>2046</v>
      </c>
      <c r="E12" s="3" t="s">
        <v>2047</v>
      </c>
    </row>
    <row r="13" spans="1:6" ht="105" customHeight="1" x14ac:dyDescent="0.45">
      <c r="A13" s="19" t="s">
        <v>2048</v>
      </c>
      <c r="B13" s="3" t="s">
        <v>2049</v>
      </c>
      <c r="C13" s="3" t="s">
        <v>2050</v>
      </c>
      <c r="D13" s="3" t="s">
        <v>2051</v>
      </c>
      <c r="E13" s="3" t="s">
        <v>2052</v>
      </c>
    </row>
    <row r="15" spans="1:6" ht="22.05" customHeight="1" x14ac:dyDescent="0.5">
      <c r="A15" s="13" t="s">
        <v>2053</v>
      </c>
    </row>
    <row r="16" spans="1:6" ht="30" customHeight="1" x14ac:dyDescent="0.2">
      <c r="A16" s="4" t="s">
        <v>2054</v>
      </c>
      <c r="B16" s="4" t="s">
        <v>2055</v>
      </c>
      <c r="C16" s="4" t="s">
        <v>2056</v>
      </c>
      <c r="D16" s="4" t="s">
        <v>2057</v>
      </c>
      <c r="E16" s="4" t="s">
        <v>2058</v>
      </c>
      <c r="F16" s="4" t="s">
        <v>2059</v>
      </c>
    </row>
    <row r="17" spans="1:6" ht="45" customHeight="1" x14ac:dyDescent="0.2">
      <c r="A17" s="15" t="s">
        <v>2060</v>
      </c>
      <c r="B17" s="3" t="s">
        <v>2061</v>
      </c>
      <c r="C17" s="3" t="s">
        <v>2062</v>
      </c>
      <c r="D17" s="3" t="s">
        <v>2063</v>
      </c>
      <c r="E17" s="3" t="s">
        <v>2064</v>
      </c>
      <c r="F17" s="23" t="s">
        <v>2065</v>
      </c>
    </row>
    <row r="18" spans="1:6" ht="30" customHeight="1" x14ac:dyDescent="0.2">
      <c r="A18" s="15" t="s">
        <v>2060</v>
      </c>
      <c r="B18" s="3" t="s">
        <v>2066</v>
      </c>
      <c r="C18" s="3" t="s">
        <v>2067</v>
      </c>
      <c r="D18" s="3" t="s">
        <v>2068</v>
      </c>
      <c r="E18" s="3" t="s">
        <v>2064</v>
      </c>
      <c r="F18" s="23" t="s">
        <v>2069</v>
      </c>
    </row>
    <row r="19" spans="1:6" ht="30" customHeight="1" x14ac:dyDescent="0.2">
      <c r="A19" s="15" t="s">
        <v>2060</v>
      </c>
      <c r="B19" s="3" t="s">
        <v>2070</v>
      </c>
      <c r="C19" s="3" t="s">
        <v>2071</v>
      </c>
      <c r="D19" s="3" t="s">
        <v>2072</v>
      </c>
      <c r="E19" s="3" t="s">
        <v>2073</v>
      </c>
      <c r="F19" s="23" t="s">
        <v>2074</v>
      </c>
    </row>
    <row r="20" spans="1:6" ht="30" customHeight="1" x14ac:dyDescent="0.2">
      <c r="A20" s="15" t="s">
        <v>2060</v>
      </c>
      <c r="B20" s="3" t="s">
        <v>2075</v>
      </c>
      <c r="C20" s="3" t="s">
        <v>2071</v>
      </c>
      <c r="D20" s="3" t="s">
        <v>2076</v>
      </c>
      <c r="E20" s="3" t="s">
        <v>2077</v>
      </c>
      <c r="F20" s="23" t="s">
        <v>2078</v>
      </c>
    </row>
    <row r="21" spans="1:6" ht="45" customHeight="1" x14ac:dyDescent="0.2">
      <c r="A21" s="15" t="s">
        <v>2060</v>
      </c>
      <c r="B21" s="3" t="s">
        <v>2079</v>
      </c>
      <c r="C21" s="3" t="s">
        <v>2062</v>
      </c>
      <c r="D21" s="3" t="s">
        <v>2080</v>
      </c>
      <c r="E21" s="3" t="s">
        <v>2081</v>
      </c>
      <c r="F21" s="23" t="s">
        <v>2082</v>
      </c>
    </row>
    <row r="22" spans="1:6" ht="30" customHeight="1" x14ac:dyDescent="0.2">
      <c r="A22" s="15" t="s">
        <v>2060</v>
      </c>
      <c r="B22" s="3" t="s">
        <v>2083</v>
      </c>
      <c r="C22" s="3" t="s">
        <v>2067</v>
      </c>
      <c r="D22" s="3" t="s">
        <v>2084</v>
      </c>
      <c r="E22" s="3" t="s">
        <v>2085</v>
      </c>
      <c r="F22" s="23" t="s">
        <v>2086</v>
      </c>
    </row>
    <row r="23" spans="1:6" ht="45" customHeight="1" x14ac:dyDescent="0.2">
      <c r="A23" s="15" t="s">
        <v>2060</v>
      </c>
      <c r="B23" s="3" t="s">
        <v>2087</v>
      </c>
      <c r="C23" s="3" t="s">
        <v>2067</v>
      </c>
      <c r="D23" s="3" t="s">
        <v>2088</v>
      </c>
      <c r="E23" s="3" t="s">
        <v>2089</v>
      </c>
      <c r="F23" s="23" t="s">
        <v>2090</v>
      </c>
    </row>
    <row r="24" spans="1:6" ht="30" customHeight="1" x14ac:dyDescent="0.2">
      <c r="A24" s="15" t="s">
        <v>2091</v>
      </c>
      <c r="B24" s="3" t="s">
        <v>2092</v>
      </c>
      <c r="C24" s="3" t="s">
        <v>2093</v>
      </c>
      <c r="D24" s="3" t="s">
        <v>2094</v>
      </c>
      <c r="E24" s="3" t="s">
        <v>2095</v>
      </c>
      <c r="F24" s="23" t="s">
        <v>2096</v>
      </c>
    </row>
    <row r="25" spans="1:6" ht="45" customHeight="1" x14ac:dyDescent="0.2">
      <c r="A25" s="15" t="s">
        <v>2091</v>
      </c>
      <c r="B25" s="3" t="s">
        <v>2097</v>
      </c>
      <c r="C25" s="3" t="s">
        <v>2098</v>
      </c>
      <c r="D25" s="3" t="s">
        <v>2099</v>
      </c>
      <c r="E25" s="3" t="s">
        <v>2100</v>
      </c>
      <c r="F25" s="23" t="s">
        <v>2101</v>
      </c>
    </row>
    <row r="26" spans="1:6" ht="45" customHeight="1" x14ac:dyDescent="0.2">
      <c r="A26" s="15" t="s">
        <v>2091</v>
      </c>
      <c r="B26" s="3" t="s">
        <v>2102</v>
      </c>
      <c r="C26" s="3" t="s">
        <v>2093</v>
      </c>
      <c r="D26" s="3" t="s">
        <v>2103</v>
      </c>
      <c r="E26" s="3" t="s">
        <v>2104</v>
      </c>
      <c r="F26" s="23" t="s">
        <v>2105</v>
      </c>
    </row>
    <row r="27" spans="1:6" ht="45" customHeight="1" x14ac:dyDescent="0.2">
      <c r="A27" s="15" t="s">
        <v>2091</v>
      </c>
      <c r="B27" s="3" t="s">
        <v>2106</v>
      </c>
      <c r="C27" s="3" t="s">
        <v>2107</v>
      </c>
      <c r="D27" s="3" t="s">
        <v>2108</v>
      </c>
      <c r="E27" s="3" t="s">
        <v>2109</v>
      </c>
      <c r="F27" s="23" t="s">
        <v>2110</v>
      </c>
    </row>
    <row r="28" spans="1:6" ht="45" customHeight="1" x14ac:dyDescent="0.2">
      <c r="A28" s="15" t="s">
        <v>2091</v>
      </c>
      <c r="B28" s="3" t="s">
        <v>2111</v>
      </c>
      <c r="C28" s="3" t="s">
        <v>2107</v>
      </c>
      <c r="D28" s="3" t="s">
        <v>2112</v>
      </c>
      <c r="E28" s="3" t="s">
        <v>2109</v>
      </c>
      <c r="F28" s="23" t="s">
        <v>2113</v>
      </c>
    </row>
    <row r="29" spans="1:6" ht="45" customHeight="1" x14ac:dyDescent="0.2">
      <c r="A29" s="15" t="s">
        <v>2091</v>
      </c>
      <c r="B29" s="3" t="s">
        <v>2114</v>
      </c>
      <c r="C29" s="3" t="s">
        <v>2115</v>
      </c>
      <c r="D29" s="3" t="s">
        <v>2116</v>
      </c>
      <c r="E29" s="3" t="s">
        <v>2117</v>
      </c>
      <c r="F29" s="23" t="s">
        <v>2118</v>
      </c>
    </row>
    <row r="30" spans="1:6" ht="45" customHeight="1" x14ac:dyDescent="0.2">
      <c r="A30" s="15" t="s">
        <v>2091</v>
      </c>
      <c r="B30" s="3" t="s">
        <v>2119</v>
      </c>
      <c r="C30" s="3" t="s">
        <v>2120</v>
      </c>
      <c r="D30" s="3" t="s">
        <v>2121</v>
      </c>
      <c r="E30" s="3" t="s">
        <v>2122</v>
      </c>
      <c r="F30" s="23" t="s">
        <v>2123</v>
      </c>
    </row>
    <row r="31" spans="1:6" ht="45" customHeight="1" x14ac:dyDescent="0.2">
      <c r="A31" s="15" t="s">
        <v>2091</v>
      </c>
      <c r="B31" s="3" t="s">
        <v>2124</v>
      </c>
      <c r="C31" s="3" t="s">
        <v>2125</v>
      </c>
      <c r="D31" s="3" t="s">
        <v>2126</v>
      </c>
      <c r="E31" s="3" t="s">
        <v>2127</v>
      </c>
      <c r="F31" s="23" t="s">
        <v>2128</v>
      </c>
    </row>
    <row r="32" spans="1:6" ht="30" customHeight="1" x14ac:dyDescent="0.2">
      <c r="A32" s="15" t="s">
        <v>2129</v>
      </c>
      <c r="B32" s="3" t="s">
        <v>2130</v>
      </c>
      <c r="C32" s="3" t="s">
        <v>2131</v>
      </c>
      <c r="D32" s="3" t="s">
        <v>2132</v>
      </c>
      <c r="E32" s="3" t="s">
        <v>2133</v>
      </c>
      <c r="F32" s="23" t="s">
        <v>2134</v>
      </c>
    </row>
    <row r="33" spans="1:6" ht="45" customHeight="1" x14ac:dyDescent="0.2">
      <c r="A33" s="15" t="s">
        <v>2129</v>
      </c>
      <c r="B33" s="3" t="s">
        <v>2135</v>
      </c>
      <c r="C33" s="3" t="s">
        <v>2131</v>
      </c>
      <c r="D33" s="3" t="s">
        <v>2136</v>
      </c>
      <c r="E33" s="3" t="s">
        <v>2137</v>
      </c>
      <c r="F33" s="23" t="s">
        <v>2138</v>
      </c>
    </row>
    <row r="34" spans="1:6" ht="30" customHeight="1" x14ac:dyDescent="0.2">
      <c r="A34" s="15" t="s">
        <v>2129</v>
      </c>
      <c r="B34" s="3" t="s">
        <v>2139</v>
      </c>
      <c r="C34" s="3" t="s">
        <v>2131</v>
      </c>
      <c r="D34" s="3" t="s">
        <v>2140</v>
      </c>
      <c r="E34" s="3" t="s">
        <v>2141</v>
      </c>
      <c r="F34" s="23" t="s">
        <v>2142</v>
      </c>
    </row>
    <row r="35" spans="1:6" ht="45" customHeight="1" x14ac:dyDescent="0.2">
      <c r="A35" s="15" t="s">
        <v>2129</v>
      </c>
      <c r="B35" s="3" t="s">
        <v>2143</v>
      </c>
      <c r="C35" s="3" t="s">
        <v>2062</v>
      </c>
      <c r="D35" s="3" t="s">
        <v>2144</v>
      </c>
      <c r="E35" s="3" t="s">
        <v>2145</v>
      </c>
      <c r="F35" s="23" t="s">
        <v>2146</v>
      </c>
    </row>
    <row r="36" spans="1:6" ht="45" customHeight="1" x14ac:dyDescent="0.2">
      <c r="A36" s="15" t="s">
        <v>2129</v>
      </c>
      <c r="B36" s="3" t="s">
        <v>2147</v>
      </c>
      <c r="C36" s="3" t="s">
        <v>2062</v>
      </c>
      <c r="D36" s="3" t="s">
        <v>2148</v>
      </c>
      <c r="E36" s="3" t="s">
        <v>2149</v>
      </c>
      <c r="F36" s="23" t="s">
        <v>2150</v>
      </c>
    </row>
    <row r="37" spans="1:6" ht="30" customHeight="1" x14ac:dyDescent="0.2">
      <c r="A37" s="15" t="s">
        <v>2129</v>
      </c>
      <c r="B37" s="3" t="s">
        <v>2151</v>
      </c>
      <c r="C37" s="3" t="s">
        <v>2152</v>
      </c>
      <c r="D37" s="3" t="s">
        <v>2153</v>
      </c>
      <c r="E37" s="3" t="s">
        <v>2154</v>
      </c>
      <c r="F37" s="23" t="s">
        <v>2155</v>
      </c>
    </row>
    <row r="38" spans="1:6" ht="45" customHeight="1" x14ac:dyDescent="0.2">
      <c r="A38" s="15" t="s">
        <v>2129</v>
      </c>
      <c r="B38" s="3" t="s">
        <v>2156</v>
      </c>
      <c r="C38" s="3" t="s">
        <v>2062</v>
      </c>
      <c r="D38" s="3" t="s">
        <v>2157</v>
      </c>
      <c r="E38" s="3" t="s">
        <v>2158</v>
      </c>
      <c r="F38" s="23" t="s">
        <v>2159</v>
      </c>
    </row>
    <row r="39" spans="1:6" ht="45" customHeight="1" x14ac:dyDescent="0.2">
      <c r="A39" s="15" t="s">
        <v>2129</v>
      </c>
      <c r="B39" s="3" t="s">
        <v>2160</v>
      </c>
      <c r="C39" s="3" t="s">
        <v>2062</v>
      </c>
      <c r="D39" s="3" t="s">
        <v>2161</v>
      </c>
      <c r="E39" s="3" t="s">
        <v>2162</v>
      </c>
      <c r="F39" s="23" t="s">
        <v>2163</v>
      </c>
    </row>
    <row r="40" spans="1:6" ht="30" customHeight="1" x14ac:dyDescent="0.2">
      <c r="A40" s="15" t="s">
        <v>2164</v>
      </c>
      <c r="B40" s="3" t="s">
        <v>2165</v>
      </c>
      <c r="C40" s="3" t="s">
        <v>2166</v>
      </c>
      <c r="D40" s="3" t="s">
        <v>2167</v>
      </c>
      <c r="E40" s="3" t="s">
        <v>2168</v>
      </c>
      <c r="F40" s="23" t="s">
        <v>2169</v>
      </c>
    </row>
    <row r="41" spans="1:6" ht="30" customHeight="1" x14ac:dyDescent="0.2">
      <c r="A41" s="15" t="s">
        <v>2164</v>
      </c>
      <c r="B41" s="3" t="s">
        <v>2170</v>
      </c>
      <c r="C41" s="3" t="s">
        <v>2062</v>
      </c>
      <c r="D41" s="3" t="s">
        <v>2171</v>
      </c>
      <c r="E41" s="3" t="s">
        <v>2172</v>
      </c>
      <c r="F41" s="23" t="s">
        <v>2173</v>
      </c>
    </row>
    <row r="42" spans="1:6" ht="30" customHeight="1" x14ac:dyDescent="0.2">
      <c r="A42" s="15" t="s">
        <v>2164</v>
      </c>
      <c r="B42" s="3" t="s">
        <v>2174</v>
      </c>
      <c r="C42" s="3" t="s">
        <v>2062</v>
      </c>
      <c r="D42" s="3" t="s">
        <v>2175</v>
      </c>
      <c r="E42" s="3" t="s">
        <v>2176</v>
      </c>
      <c r="F42" s="23" t="s">
        <v>2177</v>
      </c>
    </row>
    <row r="43" spans="1:6" ht="30" customHeight="1" x14ac:dyDescent="0.2">
      <c r="A43" s="15" t="s">
        <v>2164</v>
      </c>
      <c r="B43" s="3" t="s">
        <v>2178</v>
      </c>
      <c r="C43" s="3" t="s">
        <v>2062</v>
      </c>
      <c r="D43" s="3" t="s">
        <v>2179</v>
      </c>
      <c r="E43" s="3" t="s">
        <v>2180</v>
      </c>
      <c r="F43" s="23" t="s">
        <v>2181</v>
      </c>
    </row>
    <row r="44" spans="1:6" ht="45" customHeight="1" x14ac:dyDescent="0.2">
      <c r="A44" s="15" t="s">
        <v>2164</v>
      </c>
      <c r="B44" s="3" t="s">
        <v>2182</v>
      </c>
      <c r="C44" s="3" t="s">
        <v>2062</v>
      </c>
      <c r="D44" s="3" t="s">
        <v>2183</v>
      </c>
      <c r="E44" s="3" t="s">
        <v>2184</v>
      </c>
      <c r="F44" s="23" t="s">
        <v>2185</v>
      </c>
    </row>
    <row r="45" spans="1:6" ht="30" customHeight="1" x14ac:dyDescent="0.2">
      <c r="A45" s="15" t="s">
        <v>2164</v>
      </c>
      <c r="B45" s="3" t="s">
        <v>2186</v>
      </c>
      <c r="C45" s="3" t="s">
        <v>2062</v>
      </c>
      <c r="D45" s="3" t="s">
        <v>2187</v>
      </c>
      <c r="E45" s="3" t="s">
        <v>2188</v>
      </c>
      <c r="F45" s="23" t="s">
        <v>2189</v>
      </c>
    </row>
    <row r="46" spans="1:6" ht="30" customHeight="1" x14ac:dyDescent="0.2">
      <c r="A46" s="15" t="s">
        <v>2164</v>
      </c>
      <c r="B46" s="3" t="s">
        <v>2190</v>
      </c>
      <c r="C46" s="3" t="s">
        <v>2062</v>
      </c>
      <c r="D46" s="3" t="s">
        <v>2191</v>
      </c>
      <c r="E46" s="3" t="s">
        <v>2192</v>
      </c>
      <c r="F46" s="23" t="s">
        <v>2193</v>
      </c>
    </row>
    <row r="47" spans="1:6" ht="45" customHeight="1" x14ac:dyDescent="0.2">
      <c r="A47" s="15" t="s">
        <v>2164</v>
      </c>
      <c r="B47" s="3" t="s">
        <v>2194</v>
      </c>
      <c r="C47" s="3" t="s">
        <v>2195</v>
      </c>
      <c r="D47" s="3" t="s">
        <v>2196</v>
      </c>
      <c r="E47" s="3" t="s">
        <v>2197</v>
      </c>
      <c r="F47" s="23" t="s">
        <v>2198</v>
      </c>
    </row>
  </sheetData>
  <phoneticPr fontId="8"/>
  <hyperlinks>
    <hyperlink ref="F17" r:id="rId1" xr:uid="{00000000-0004-0000-0C00-000000000000}"/>
    <hyperlink ref="F18" r:id="rId2" xr:uid="{00000000-0004-0000-0C00-000001000000}"/>
    <hyperlink ref="F19" r:id="rId3" xr:uid="{00000000-0004-0000-0C00-000002000000}"/>
    <hyperlink ref="F20" r:id="rId4" xr:uid="{00000000-0004-0000-0C00-000003000000}"/>
    <hyperlink ref="F21" r:id="rId5" xr:uid="{00000000-0004-0000-0C00-000004000000}"/>
    <hyperlink ref="F22" r:id="rId6" xr:uid="{00000000-0004-0000-0C00-000005000000}"/>
    <hyperlink ref="F23" r:id="rId7" xr:uid="{00000000-0004-0000-0C00-000006000000}"/>
    <hyperlink ref="F24" r:id="rId8" xr:uid="{00000000-0004-0000-0C00-000007000000}"/>
    <hyperlink ref="F25" r:id="rId9" xr:uid="{00000000-0004-0000-0C00-000008000000}"/>
    <hyperlink ref="F26" r:id="rId10" xr:uid="{00000000-0004-0000-0C00-000009000000}"/>
    <hyperlink ref="F27" r:id="rId11" xr:uid="{00000000-0004-0000-0C00-00000A000000}"/>
    <hyperlink ref="F28" r:id="rId12" xr:uid="{00000000-0004-0000-0C00-00000B000000}"/>
    <hyperlink ref="F29" r:id="rId13" xr:uid="{00000000-0004-0000-0C00-00000C000000}"/>
    <hyperlink ref="F30" r:id="rId14" xr:uid="{00000000-0004-0000-0C00-00000D000000}"/>
    <hyperlink ref="F31" r:id="rId15" xr:uid="{00000000-0004-0000-0C00-00000E000000}"/>
    <hyperlink ref="F32" r:id="rId16" xr:uid="{00000000-0004-0000-0C00-00000F000000}"/>
    <hyperlink ref="F33" r:id="rId17" xr:uid="{00000000-0004-0000-0C00-000010000000}"/>
    <hyperlink ref="F34" r:id="rId18" xr:uid="{00000000-0004-0000-0C00-000011000000}"/>
    <hyperlink ref="F35" r:id="rId19" xr:uid="{00000000-0004-0000-0C00-000012000000}"/>
    <hyperlink ref="F36" r:id="rId20" xr:uid="{00000000-0004-0000-0C00-000013000000}"/>
    <hyperlink ref="F37" r:id="rId21" xr:uid="{00000000-0004-0000-0C00-000014000000}"/>
    <hyperlink ref="F38" r:id="rId22" xr:uid="{00000000-0004-0000-0C00-000015000000}"/>
    <hyperlink ref="F39" r:id="rId23" xr:uid="{00000000-0004-0000-0C00-000016000000}"/>
    <hyperlink ref="F40" r:id="rId24" xr:uid="{00000000-0004-0000-0C00-000017000000}"/>
    <hyperlink ref="F41" r:id="rId25" xr:uid="{00000000-0004-0000-0C00-000018000000}"/>
    <hyperlink ref="F42" r:id="rId26" xr:uid="{00000000-0004-0000-0C00-000019000000}"/>
    <hyperlink ref="F43" r:id="rId27" xr:uid="{00000000-0004-0000-0C00-00001A000000}"/>
    <hyperlink ref="F44" r:id="rId28" xr:uid="{00000000-0004-0000-0C00-00001B000000}"/>
    <hyperlink ref="F45" r:id="rId29" xr:uid="{00000000-0004-0000-0C00-00001C000000}"/>
    <hyperlink ref="F46" r:id="rId30" xr:uid="{00000000-0004-0000-0C00-00001D000000}"/>
    <hyperlink ref="F47" r:id="rId31" xr:uid="{00000000-0004-0000-0C00-00001E00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2199</v>
      </c>
    </row>
    <row r="3" spans="1:2" ht="19.8" x14ac:dyDescent="0.5">
      <c r="A3" s="13" t="s">
        <v>2200</v>
      </c>
    </row>
    <row r="4" spans="1:2" ht="31.95" customHeight="1" x14ac:dyDescent="0.2">
      <c r="A4" s="49">
        <v>1</v>
      </c>
      <c r="B4" s="14" t="s">
        <v>2201</v>
      </c>
    </row>
    <row r="5" spans="1:2" ht="31.95" customHeight="1" x14ac:dyDescent="0.2">
      <c r="A5" s="49">
        <v>2</v>
      </c>
      <c r="B5" s="14" t="s">
        <v>2202</v>
      </c>
    </row>
    <row r="6" spans="1:2" ht="18" customHeight="1" x14ac:dyDescent="0.2">
      <c r="A6" s="49">
        <v>3</v>
      </c>
      <c r="B6" s="14" t="s">
        <v>2203</v>
      </c>
    </row>
    <row r="7" spans="1:2" ht="31.95" customHeight="1" x14ac:dyDescent="0.2">
      <c r="A7" s="49">
        <v>4</v>
      </c>
      <c r="B7" s="14" t="s">
        <v>2204</v>
      </c>
    </row>
    <row r="8" spans="1:2" ht="48" customHeight="1" x14ac:dyDescent="0.2">
      <c r="A8" s="49">
        <v>5</v>
      </c>
      <c r="B8" s="14" t="s">
        <v>2205</v>
      </c>
    </row>
    <row r="9" spans="1:2" ht="18" customHeight="1" x14ac:dyDescent="0.2">
      <c r="A9" s="49">
        <v>6</v>
      </c>
      <c r="B9" s="14" t="s">
        <v>2206</v>
      </c>
    </row>
    <row r="11" spans="1:2" ht="19.8" x14ac:dyDescent="0.5">
      <c r="A11" s="13" t="s">
        <v>2207</v>
      </c>
    </row>
    <row r="12" spans="1:2" ht="18" customHeight="1" x14ac:dyDescent="0.2">
      <c r="A12" s="49">
        <v>1</v>
      </c>
      <c r="B12" s="14" t="s">
        <v>2208</v>
      </c>
    </row>
    <row r="13" spans="1:2" ht="18" customHeight="1" x14ac:dyDescent="0.2">
      <c r="A13" s="49">
        <v>2</v>
      </c>
      <c r="B13" s="14" t="s">
        <v>2209</v>
      </c>
    </row>
    <row r="14" spans="1:2" ht="31.95" customHeight="1" x14ac:dyDescent="0.2">
      <c r="A14" s="49">
        <v>3</v>
      </c>
      <c r="B14" s="14" t="s">
        <v>2210</v>
      </c>
    </row>
    <row r="15" spans="1:2" ht="31.95" customHeight="1" x14ac:dyDescent="0.2">
      <c r="A15" s="49">
        <v>4</v>
      </c>
      <c r="B15" s="14" t="s">
        <v>2211</v>
      </c>
    </row>
    <row r="16" spans="1:2" ht="31.95" customHeight="1" x14ac:dyDescent="0.2">
      <c r="A16" s="49">
        <v>5</v>
      </c>
      <c r="B16" s="14" t="s">
        <v>2212</v>
      </c>
    </row>
    <row r="17" spans="1:2" ht="31.95" customHeight="1" x14ac:dyDescent="0.2">
      <c r="A17" s="49">
        <v>6</v>
      </c>
      <c r="B17" s="14" t="s">
        <v>2213</v>
      </c>
    </row>
    <row r="18" spans="1:2" ht="18" customHeight="1" x14ac:dyDescent="0.2">
      <c r="A18" s="49">
        <v>7</v>
      </c>
      <c r="B18" s="14" t="s">
        <v>2214</v>
      </c>
    </row>
    <row r="20" spans="1:2" ht="19.8" x14ac:dyDescent="0.5">
      <c r="A20" s="13" t="s">
        <v>523</v>
      </c>
    </row>
    <row r="21" spans="1:2" ht="18" customHeight="1" x14ac:dyDescent="0.2">
      <c r="A21" s="49">
        <v>1</v>
      </c>
      <c r="B21" s="14" t="s">
        <v>2215</v>
      </c>
    </row>
    <row r="22" spans="1:2" ht="18" customHeight="1" x14ac:dyDescent="0.2">
      <c r="A22" s="49">
        <v>2</v>
      </c>
      <c r="B22" s="14" t="s">
        <v>2216</v>
      </c>
    </row>
    <row r="23" spans="1:2" ht="18" customHeight="1" x14ac:dyDescent="0.2">
      <c r="A23" s="49">
        <v>3</v>
      </c>
      <c r="B23" s="14" t="s">
        <v>2217</v>
      </c>
    </row>
    <row r="24" spans="1:2" ht="18" customHeight="1" x14ac:dyDescent="0.2">
      <c r="A24" s="49">
        <v>4</v>
      </c>
      <c r="B24" s="14" t="s">
        <v>2218</v>
      </c>
    </row>
    <row r="25" spans="1:2" ht="31.95" customHeight="1" x14ac:dyDescent="0.2">
      <c r="A25" s="49">
        <v>5</v>
      </c>
      <c r="B25" s="14" t="s">
        <v>2219</v>
      </c>
    </row>
    <row r="26" spans="1:2" ht="18" customHeight="1" x14ac:dyDescent="0.2">
      <c r="A26" s="49">
        <v>6</v>
      </c>
      <c r="B26" s="14" t="s">
        <v>2220</v>
      </c>
    </row>
    <row r="28" spans="1:2" ht="19.8" x14ac:dyDescent="0.5">
      <c r="A28" s="13" t="s">
        <v>2221</v>
      </c>
    </row>
    <row r="29" spans="1:2" ht="31.95" customHeight="1" x14ac:dyDescent="0.2">
      <c r="A29" s="49">
        <v>1</v>
      </c>
      <c r="B29" s="14" t="s">
        <v>2222</v>
      </c>
    </row>
    <row r="30" spans="1:2" ht="31.95" customHeight="1" x14ac:dyDescent="0.2">
      <c r="A30" s="49">
        <v>2</v>
      </c>
      <c r="B30" s="14" t="s">
        <v>2223</v>
      </c>
    </row>
    <row r="31" spans="1:2" ht="18" customHeight="1" x14ac:dyDescent="0.2">
      <c r="A31" s="49">
        <v>3</v>
      </c>
      <c r="B31" s="14" t="s">
        <v>2224</v>
      </c>
    </row>
    <row r="32" spans="1:2" ht="31.95" customHeight="1" x14ac:dyDescent="0.2">
      <c r="A32" s="49">
        <v>4</v>
      </c>
      <c r="B32" s="14" t="s">
        <v>2225</v>
      </c>
    </row>
    <row r="33" spans="1:2" ht="18" customHeight="1" x14ac:dyDescent="0.2">
      <c r="A33" s="49">
        <v>5</v>
      </c>
      <c r="B33" s="14" t="s">
        <v>2226</v>
      </c>
    </row>
    <row r="34" spans="1:2" ht="31.95" customHeight="1" x14ac:dyDescent="0.2">
      <c r="A34" s="49">
        <v>6</v>
      </c>
      <c r="B34" s="14" t="s">
        <v>2227</v>
      </c>
    </row>
    <row r="36" spans="1:2" ht="19.8" x14ac:dyDescent="0.5">
      <c r="A36" s="13" t="s">
        <v>528</v>
      </c>
    </row>
    <row r="37" spans="1:2" ht="18" customHeight="1" x14ac:dyDescent="0.2">
      <c r="A37" s="49">
        <v>1</v>
      </c>
      <c r="B37" s="14" t="s">
        <v>2228</v>
      </c>
    </row>
    <row r="38" spans="1:2" ht="18" customHeight="1" x14ac:dyDescent="0.2">
      <c r="A38" s="49">
        <v>2</v>
      </c>
      <c r="B38" s="14" t="s">
        <v>2229</v>
      </c>
    </row>
    <row r="39" spans="1:2" ht="18" customHeight="1" x14ac:dyDescent="0.2">
      <c r="A39" s="49">
        <v>3</v>
      </c>
      <c r="B39" s="14" t="s">
        <v>2230</v>
      </c>
    </row>
    <row r="40" spans="1:2" ht="18" customHeight="1" x14ac:dyDescent="0.2">
      <c r="A40" s="49">
        <v>4</v>
      </c>
      <c r="B40" s="14" t="s">
        <v>2231</v>
      </c>
    </row>
    <row r="42" spans="1:2" ht="19.8" x14ac:dyDescent="0.5">
      <c r="A42" s="13" t="s">
        <v>530</v>
      </c>
    </row>
    <row r="43" spans="1:2" ht="18" customHeight="1" x14ac:dyDescent="0.2">
      <c r="A43" s="49">
        <v>1</v>
      </c>
      <c r="B43" s="14" t="s">
        <v>2232</v>
      </c>
    </row>
    <row r="44" spans="1:2" ht="18" customHeight="1" x14ac:dyDescent="0.2">
      <c r="A44" s="49">
        <v>2</v>
      </c>
      <c r="B44" s="14" t="s">
        <v>2233</v>
      </c>
    </row>
    <row r="45" spans="1:2" ht="18" customHeight="1" x14ac:dyDescent="0.2">
      <c r="A45" s="49">
        <v>3</v>
      </c>
      <c r="B45" s="14" t="s">
        <v>2234</v>
      </c>
    </row>
    <row r="46" spans="1:2" ht="18" customHeight="1" x14ac:dyDescent="0.2">
      <c r="A46" s="49">
        <v>4</v>
      </c>
      <c r="B46" s="14" t="s">
        <v>2235</v>
      </c>
    </row>
    <row r="48" spans="1:2" ht="19.8" x14ac:dyDescent="0.5">
      <c r="A48" s="13" t="s">
        <v>532</v>
      </c>
    </row>
    <row r="49" spans="1:2" ht="18" customHeight="1" x14ac:dyDescent="0.2">
      <c r="A49" s="49">
        <v>1</v>
      </c>
      <c r="B49" s="14" t="s">
        <v>2236</v>
      </c>
    </row>
    <row r="50" spans="1:2" ht="31.95" customHeight="1" x14ac:dyDescent="0.2">
      <c r="A50" s="49">
        <v>2</v>
      </c>
      <c r="B50" s="14" t="s">
        <v>2237</v>
      </c>
    </row>
    <row r="51" spans="1:2" ht="18" customHeight="1" x14ac:dyDescent="0.2">
      <c r="A51" s="49">
        <v>3</v>
      </c>
      <c r="B51" s="14" t="s">
        <v>2238</v>
      </c>
    </row>
    <row r="52" spans="1:2" ht="18" customHeight="1" x14ac:dyDescent="0.2">
      <c r="A52" s="49">
        <v>4</v>
      </c>
      <c r="B52" s="14" t="s">
        <v>2239</v>
      </c>
    </row>
    <row r="53" spans="1:2" ht="18" customHeight="1" x14ac:dyDescent="0.2">
      <c r="A53" s="49">
        <v>5</v>
      </c>
      <c r="B53" s="14" t="s">
        <v>2240</v>
      </c>
    </row>
    <row r="55" spans="1:2" ht="19.8" x14ac:dyDescent="0.5">
      <c r="A55" s="13" t="s">
        <v>1449</v>
      </c>
    </row>
    <row r="56" spans="1:2" ht="18" customHeight="1" x14ac:dyDescent="0.2">
      <c r="A56" s="49">
        <v>1</v>
      </c>
      <c r="B56" s="14" t="s">
        <v>2241</v>
      </c>
    </row>
    <row r="57" spans="1:2" ht="31.95" customHeight="1" x14ac:dyDescent="0.2">
      <c r="A57" s="49">
        <v>2</v>
      </c>
      <c r="B57" s="14" t="s">
        <v>2242</v>
      </c>
    </row>
    <row r="58" spans="1:2" ht="48" customHeight="1" x14ac:dyDescent="0.2">
      <c r="A58" s="49">
        <v>3</v>
      </c>
      <c r="B58" s="14" t="s">
        <v>2243</v>
      </c>
    </row>
    <row r="59" spans="1:2" ht="18" customHeight="1" x14ac:dyDescent="0.2">
      <c r="A59" s="49">
        <v>4</v>
      </c>
      <c r="B59" s="14" t="s">
        <v>2244</v>
      </c>
    </row>
    <row r="60" spans="1:2" ht="18" customHeight="1" x14ac:dyDescent="0.2">
      <c r="A60" s="49">
        <v>5</v>
      </c>
      <c r="B60" s="14" t="s">
        <v>2245</v>
      </c>
    </row>
  </sheetData>
  <phoneticPr fontId="8"/>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11"/>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2246</v>
      </c>
    </row>
    <row r="2" spans="1:7" ht="18" customHeight="1" x14ac:dyDescent="0.2">
      <c r="A2" s="52" t="s">
        <v>2247</v>
      </c>
      <c r="B2" s="51"/>
      <c r="C2" s="51"/>
      <c r="D2" s="51"/>
      <c r="E2" s="51"/>
      <c r="F2" s="51"/>
      <c r="G2" s="51"/>
    </row>
    <row r="4" spans="1:7" ht="30" customHeight="1" x14ac:dyDescent="0.2">
      <c r="A4" s="4" t="s">
        <v>522</v>
      </c>
      <c r="B4" s="4" t="s">
        <v>518</v>
      </c>
      <c r="C4" s="4" t="s">
        <v>2055</v>
      </c>
      <c r="D4" s="4" t="s">
        <v>2248</v>
      </c>
      <c r="E4" s="4" t="s">
        <v>2059</v>
      </c>
      <c r="F4" s="4" t="s">
        <v>2249</v>
      </c>
      <c r="G4" s="4" t="s">
        <v>2250</v>
      </c>
    </row>
    <row r="5" spans="1:7" ht="30" customHeight="1" x14ac:dyDescent="0.45">
      <c r="A5" s="22" t="s">
        <v>2251</v>
      </c>
      <c r="B5" s="22" t="s">
        <v>523</v>
      </c>
      <c r="C5" s="3" t="s">
        <v>2252</v>
      </c>
      <c r="D5" s="3" t="s">
        <v>2253</v>
      </c>
      <c r="E5" s="23" t="s">
        <v>2254</v>
      </c>
      <c r="F5" s="3" t="s">
        <v>2255</v>
      </c>
      <c r="G5" s="22" t="s">
        <v>2256</v>
      </c>
    </row>
    <row r="6" spans="1:7" ht="30" customHeight="1" x14ac:dyDescent="0.45">
      <c r="A6" s="22" t="s">
        <v>1396</v>
      </c>
      <c r="B6" s="22" t="s">
        <v>523</v>
      </c>
      <c r="C6" s="3" t="s">
        <v>2257</v>
      </c>
      <c r="D6" s="3" t="s">
        <v>2253</v>
      </c>
      <c r="E6" s="23" t="s">
        <v>2258</v>
      </c>
      <c r="F6" s="3" t="s">
        <v>2255</v>
      </c>
      <c r="G6" s="22" t="s">
        <v>2256</v>
      </c>
    </row>
    <row r="7" spans="1:7" ht="30" customHeight="1" x14ac:dyDescent="0.45">
      <c r="A7" s="22" t="s">
        <v>1363</v>
      </c>
      <c r="B7" s="22" t="s">
        <v>523</v>
      </c>
      <c r="C7" s="3" t="s">
        <v>2259</v>
      </c>
      <c r="D7" s="3" t="s">
        <v>2253</v>
      </c>
      <c r="E7" s="23" t="s">
        <v>2260</v>
      </c>
      <c r="F7" s="3" t="s">
        <v>2255</v>
      </c>
      <c r="G7" s="22" t="s">
        <v>2256</v>
      </c>
    </row>
    <row r="8" spans="1:7" ht="30" customHeight="1" x14ac:dyDescent="0.45">
      <c r="A8" s="22" t="s">
        <v>1348</v>
      </c>
      <c r="B8" s="22" t="s">
        <v>523</v>
      </c>
      <c r="C8" s="3" t="s">
        <v>2261</v>
      </c>
      <c r="D8" s="3" t="s">
        <v>2253</v>
      </c>
      <c r="E8" s="23" t="s">
        <v>2262</v>
      </c>
      <c r="F8" s="3" t="s">
        <v>2255</v>
      </c>
      <c r="G8" s="22" t="s">
        <v>2256</v>
      </c>
    </row>
    <row r="9" spans="1:7" ht="30" customHeight="1" x14ac:dyDescent="0.45">
      <c r="A9" s="22" t="s">
        <v>1367</v>
      </c>
      <c r="B9" s="22" t="s">
        <v>523</v>
      </c>
      <c r="C9" s="3" t="s">
        <v>2263</v>
      </c>
      <c r="D9" s="3" t="s">
        <v>2253</v>
      </c>
      <c r="E9" s="23" t="s">
        <v>2264</v>
      </c>
      <c r="F9" s="3" t="s">
        <v>2255</v>
      </c>
      <c r="G9" s="22" t="s">
        <v>2256</v>
      </c>
    </row>
    <row r="10" spans="1:7" ht="30" customHeight="1" x14ac:dyDescent="0.45">
      <c r="A10" s="22" t="s">
        <v>1387</v>
      </c>
      <c r="B10" s="22" t="s">
        <v>523</v>
      </c>
      <c r="C10" s="3" t="s">
        <v>2265</v>
      </c>
      <c r="D10" s="3" t="s">
        <v>2253</v>
      </c>
      <c r="E10" s="23" t="s">
        <v>2266</v>
      </c>
      <c r="F10" s="3" t="s">
        <v>2255</v>
      </c>
      <c r="G10" s="22" t="s">
        <v>2256</v>
      </c>
    </row>
    <row r="11" spans="1:7" ht="30" customHeight="1" x14ac:dyDescent="0.45">
      <c r="A11" s="22" t="s">
        <v>2267</v>
      </c>
      <c r="B11" s="22" t="s">
        <v>523</v>
      </c>
      <c r="C11" s="3" t="s">
        <v>2268</v>
      </c>
      <c r="D11" s="3" t="s">
        <v>2253</v>
      </c>
      <c r="E11" s="23" t="s">
        <v>2269</v>
      </c>
      <c r="F11" s="3" t="s">
        <v>2255</v>
      </c>
      <c r="G11" s="22" t="s">
        <v>2256</v>
      </c>
    </row>
    <row r="12" spans="1:7" ht="30" customHeight="1" x14ac:dyDescent="0.45">
      <c r="A12" s="22" t="s">
        <v>2270</v>
      </c>
      <c r="B12" s="22" t="s">
        <v>523</v>
      </c>
      <c r="C12" s="3" t="s">
        <v>2271</v>
      </c>
      <c r="D12" s="3" t="s">
        <v>2253</v>
      </c>
      <c r="E12" s="23" t="s">
        <v>2272</v>
      </c>
      <c r="F12" s="3" t="s">
        <v>2255</v>
      </c>
      <c r="G12" s="22" t="s">
        <v>2256</v>
      </c>
    </row>
    <row r="13" spans="1:7" ht="30" customHeight="1" x14ac:dyDescent="0.45">
      <c r="A13" s="22" t="s">
        <v>2273</v>
      </c>
      <c r="B13" s="22" t="s">
        <v>523</v>
      </c>
      <c r="C13" s="3" t="s">
        <v>2274</v>
      </c>
      <c r="D13" s="3" t="s">
        <v>2253</v>
      </c>
      <c r="E13" s="23" t="s">
        <v>2275</v>
      </c>
      <c r="F13" s="3" t="s">
        <v>2255</v>
      </c>
      <c r="G13" s="22" t="s">
        <v>2256</v>
      </c>
    </row>
    <row r="14" spans="1:7" ht="30" customHeight="1" x14ac:dyDescent="0.45">
      <c r="A14" s="22" t="s">
        <v>1357</v>
      </c>
      <c r="B14" s="22" t="s">
        <v>523</v>
      </c>
      <c r="C14" s="3" t="s">
        <v>2276</v>
      </c>
      <c r="D14" s="3" t="s">
        <v>2253</v>
      </c>
      <c r="E14" s="23" t="s">
        <v>2277</v>
      </c>
      <c r="F14" s="3" t="s">
        <v>2255</v>
      </c>
      <c r="G14" s="22" t="s">
        <v>2256</v>
      </c>
    </row>
    <row r="15" spans="1:7" ht="30" customHeight="1" x14ac:dyDescent="0.45">
      <c r="A15" s="22" t="s">
        <v>2278</v>
      </c>
      <c r="B15" s="22" t="s">
        <v>523</v>
      </c>
      <c r="C15" s="3" t="s">
        <v>2279</v>
      </c>
      <c r="D15" s="3" t="s">
        <v>2253</v>
      </c>
      <c r="E15" s="23" t="s">
        <v>2280</v>
      </c>
      <c r="F15" s="3" t="s">
        <v>2255</v>
      </c>
      <c r="G15" s="22" t="s">
        <v>2256</v>
      </c>
    </row>
    <row r="16" spans="1:7" ht="30" customHeight="1" x14ac:dyDescent="0.45">
      <c r="A16" s="22" t="s">
        <v>2281</v>
      </c>
      <c r="B16" s="22" t="s">
        <v>523</v>
      </c>
      <c r="C16" s="3" t="s">
        <v>2282</v>
      </c>
      <c r="D16" s="3" t="s">
        <v>2253</v>
      </c>
      <c r="E16" s="23" t="s">
        <v>2283</v>
      </c>
      <c r="F16" s="3" t="s">
        <v>2284</v>
      </c>
      <c r="G16" s="22" t="s">
        <v>2256</v>
      </c>
    </row>
    <row r="17" spans="1:7" ht="30" customHeight="1" x14ac:dyDescent="0.45">
      <c r="A17" s="22" t="s">
        <v>2285</v>
      </c>
      <c r="B17" s="22" t="s">
        <v>523</v>
      </c>
      <c r="C17" s="3" t="s">
        <v>2286</v>
      </c>
      <c r="D17" s="3" t="s">
        <v>2253</v>
      </c>
      <c r="E17" s="23" t="s">
        <v>2287</v>
      </c>
      <c r="F17" s="3" t="s">
        <v>2288</v>
      </c>
      <c r="G17" s="22" t="s">
        <v>2256</v>
      </c>
    </row>
    <row r="18" spans="1:7" ht="45" customHeight="1" x14ac:dyDescent="0.45">
      <c r="A18" s="22" t="s">
        <v>893</v>
      </c>
      <c r="B18" s="22" t="s">
        <v>523</v>
      </c>
      <c r="C18" s="3" t="s">
        <v>2289</v>
      </c>
      <c r="D18" s="3" t="s">
        <v>2062</v>
      </c>
      <c r="E18" s="23" t="s">
        <v>2290</v>
      </c>
      <c r="F18" s="3" t="s">
        <v>2291</v>
      </c>
      <c r="G18" s="22" t="s">
        <v>2256</v>
      </c>
    </row>
    <row r="19" spans="1:7" ht="30" customHeight="1" x14ac:dyDescent="0.45">
      <c r="A19" s="22" t="s">
        <v>2292</v>
      </c>
      <c r="B19" s="22" t="s">
        <v>523</v>
      </c>
      <c r="C19" s="3" t="s">
        <v>2293</v>
      </c>
      <c r="D19" s="3" t="s">
        <v>2062</v>
      </c>
      <c r="E19" s="23" t="s">
        <v>2294</v>
      </c>
      <c r="F19" s="3" t="s">
        <v>2291</v>
      </c>
      <c r="G19" s="22" t="s">
        <v>2256</v>
      </c>
    </row>
    <row r="20" spans="1:7" ht="30" customHeight="1" x14ac:dyDescent="0.45">
      <c r="A20" s="22" t="s">
        <v>2295</v>
      </c>
      <c r="B20" s="22" t="s">
        <v>523</v>
      </c>
      <c r="C20" s="3" t="s">
        <v>2296</v>
      </c>
      <c r="D20" s="3" t="s">
        <v>2297</v>
      </c>
      <c r="E20" s="23" t="s">
        <v>2298</v>
      </c>
      <c r="F20" s="3" t="s">
        <v>2299</v>
      </c>
      <c r="G20" s="22" t="s">
        <v>2256</v>
      </c>
    </row>
    <row r="21" spans="1:7" ht="30" customHeight="1" x14ac:dyDescent="0.45">
      <c r="A21" s="22" t="s">
        <v>2300</v>
      </c>
      <c r="B21" s="22" t="s">
        <v>523</v>
      </c>
      <c r="C21" s="3" t="s">
        <v>2301</v>
      </c>
      <c r="D21" s="3" t="s">
        <v>2302</v>
      </c>
      <c r="E21" s="23" t="s">
        <v>2303</v>
      </c>
      <c r="F21" s="3" t="s">
        <v>2291</v>
      </c>
      <c r="G21" s="22" t="s">
        <v>2256</v>
      </c>
    </row>
    <row r="22" spans="1:7" ht="30" customHeight="1" x14ac:dyDescent="0.45">
      <c r="A22" s="22" t="s">
        <v>2304</v>
      </c>
      <c r="B22" s="22" t="s">
        <v>523</v>
      </c>
      <c r="C22" s="3" t="s">
        <v>2305</v>
      </c>
      <c r="D22" s="3" t="s">
        <v>2253</v>
      </c>
      <c r="E22" s="23" t="s">
        <v>2306</v>
      </c>
      <c r="F22" s="3" t="s">
        <v>2255</v>
      </c>
      <c r="G22" s="22" t="s">
        <v>2256</v>
      </c>
    </row>
    <row r="23" spans="1:7" ht="45" customHeight="1" x14ac:dyDescent="0.45">
      <c r="A23" s="22" t="s">
        <v>1508</v>
      </c>
      <c r="B23" s="22" t="s">
        <v>528</v>
      </c>
      <c r="C23" s="3" t="s">
        <v>2307</v>
      </c>
      <c r="D23" s="3" t="s">
        <v>2062</v>
      </c>
      <c r="E23" s="23" t="s">
        <v>2308</v>
      </c>
      <c r="F23" s="3" t="s">
        <v>2309</v>
      </c>
      <c r="G23" s="22" t="s">
        <v>2256</v>
      </c>
    </row>
    <row r="24" spans="1:7" ht="30" customHeight="1" x14ac:dyDescent="0.45">
      <c r="A24" s="22" t="s">
        <v>1528</v>
      </c>
      <c r="B24" s="22" t="s">
        <v>528</v>
      </c>
      <c r="C24" s="3" t="s">
        <v>2310</v>
      </c>
      <c r="D24" s="3" t="s">
        <v>2311</v>
      </c>
      <c r="E24" s="23" t="s">
        <v>2312</v>
      </c>
      <c r="F24" s="3" t="s">
        <v>2313</v>
      </c>
      <c r="G24" s="22" t="s">
        <v>2256</v>
      </c>
    </row>
    <row r="25" spans="1:7" ht="30" customHeight="1" x14ac:dyDescent="0.45">
      <c r="A25" s="22" t="s">
        <v>1514</v>
      </c>
      <c r="B25" s="22" t="s">
        <v>528</v>
      </c>
      <c r="C25" s="3" t="s">
        <v>2314</v>
      </c>
      <c r="D25" s="3" t="s">
        <v>2067</v>
      </c>
      <c r="E25" s="23" t="s">
        <v>2315</v>
      </c>
      <c r="F25" s="3" t="s">
        <v>2316</v>
      </c>
      <c r="G25" s="22" t="s">
        <v>2256</v>
      </c>
    </row>
    <row r="26" spans="1:7" ht="30" customHeight="1" x14ac:dyDescent="0.45">
      <c r="A26" s="22" t="s">
        <v>1535</v>
      </c>
      <c r="B26" s="22" t="s">
        <v>528</v>
      </c>
      <c r="C26" s="3" t="s">
        <v>2317</v>
      </c>
      <c r="D26" s="3" t="s">
        <v>2067</v>
      </c>
      <c r="E26" s="23" t="s">
        <v>2318</v>
      </c>
      <c r="F26" s="3" t="s">
        <v>2316</v>
      </c>
      <c r="G26" s="22" t="s">
        <v>2256</v>
      </c>
    </row>
    <row r="27" spans="1:7" ht="30" customHeight="1" x14ac:dyDescent="0.45">
      <c r="A27" s="22" t="s">
        <v>1511</v>
      </c>
      <c r="B27" s="22" t="s">
        <v>528</v>
      </c>
      <c r="C27" s="3" t="s">
        <v>2319</v>
      </c>
      <c r="D27" s="3" t="s">
        <v>2320</v>
      </c>
      <c r="E27" s="23" t="s">
        <v>2321</v>
      </c>
      <c r="F27" s="3" t="s">
        <v>2322</v>
      </c>
      <c r="G27" s="22" t="s">
        <v>2256</v>
      </c>
    </row>
    <row r="28" spans="1:7" ht="30" customHeight="1" x14ac:dyDescent="0.45">
      <c r="A28" s="22" t="s">
        <v>2323</v>
      </c>
      <c r="B28" s="22" t="s">
        <v>528</v>
      </c>
      <c r="C28" s="3" t="s">
        <v>2324</v>
      </c>
      <c r="D28" s="3" t="s">
        <v>2320</v>
      </c>
      <c r="E28" s="23" t="s">
        <v>2325</v>
      </c>
      <c r="F28" s="3" t="s">
        <v>2326</v>
      </c>
      <c r="G28" s="22" t="s">
        <v>2256</v>
      </c>
    </row>
    <row r="29" spans="1:7" ht="30" customHeight="1" x14ac:dyDescent="0.45">
      <c r="A29" s="22" t="s">
        <v>2327</v>
      </c>
      <c r="B29" s="22" t="s">
        <v>528</v>
      </c>
      <c r="C29" s="3" t="s">
        <v>2328</v>
      </c>
      <c r="D29" s="3" t="s">
        <v>2320</v>
      </c>
      <c r="E29" s="23" t="s">
        <v>2329</v>
      </c>
      <c r="F29" s="3" t="s">
        <v>2330</v>
      </c>
      <c r="G29" s="22" t="s">
        <v>2256</v>
      </c>
    </row>
    <row r="30" spans="1:7" ht="45" customHeight="1" x14ac:dyDescent="0.45">
      <c r="A30" s="22" t="s">
        <v>1509</v>
      </c>
      <c r="B30" s="22" t="s">
        <v>528</v>
      </c>
      <c r="C30" s="3" t="s">
        <v>2331</v>
      </c>
      <c r="D30" s="3" t="s">
        <v>2062</v>
      </c>
      <c r="E30" s="23" t="s">
        <v>2332</v>
      </c>
      <c r="F30" s="3" t="s">
        <v>2333</v>
      </c>
      <c r="G30" s="22" t="s">
        <v>2256</v>
      </c>
    </row>
    <row r="31" spans="1:7" ht="45" customHeight="1" x14ac:dyDescent="0.45">
      <c r="A31" s="22" t="s">
        <v>1547</v>
      </c>
      <c r="B31" s="22" t="s">
        <v>528</v>
      </c>
      <c r="C31" s="3" t="s">
        <v>2334</v>
      </c>
      <c r="D31" s="3" t="s">
        <v>2311</v>
      </c>
      <c r="E31" s="23" t="s">
        <v>2335</v>
      </c>
      <c r="F31" s="3" t="s">
        <v>2336</v>
      </c>
      <c r="G31" s="22" t="s">
        <v>2256</v>
      </c>
    </row>
    <row r="32" spans="1:7" ht="30" customHeight="1" x14ac:dyDescent="0.45">
      <c r="A32" s="22" t="s">
        <v>2337</v>
      </c>
      <c r="B32" s="22" t="s">
        <v>528</v>
      </c>
      <c r="C32" s="3" t="s">
        <v>2338</v>
      </c>
      <c r="D32" s="3" t="s">
        <v>2062</v>
      </c>
      <c r="E32" s="23" t="s">
        <v>2339</v>
      </c>
      <c r="F32" s="3" t="s">
        <v>2340</v>
      </c>
      <c r="G32" s="22" t="s">
        <v>2256</v>
      </c>
    </row>
    <row r="33" spans="1:7" ht="30" customHeight="1" x14ac:dyDescent="0.45">
      <c r="A33" s="22" t="s">
        <v>903</v>
      </c>
      <c r="B33" s="22" t="s">
        <v>528</v>
      </c>
      <c r="C33" s="3" t="s">
        <v>2341</v>
      </c>
      <c r="D33" s="3" t="s">
        <v>2062</v>
      </c>
      <c r="E33" s="23" t="s">
        <v>2342</v>
      </c>
      <c r="F33" s="3" t="s">
        <v>2343</v>
      </c>
      <c r="G33" s="22" t="s">
        <v>2256</v>
      </c>
    </row>
    <row r="34" spans="1:7" ht="30" customHeight="1" x14ac:dyDescent="0.45">
      <c r="A34" s="22" t="s">
        <v>2344</v>
      </c>
      <c r="B34" s="22" t="s">
        <v>528</v>
      </c>
      <c r="C34" s="3" t="s">
        <v>2345</v>
      </c>
      <c r="D34" s="3" t="s">
        <v>2320</v>
      </c>
      <c r="E34" s="23" t="s">
        <v>2346</v>
      </c>
      <c r="F34" s="3" t="s">
        <v>2347</v>
      </c>
      <c r="G34" s="22" t="s">
        <v>2256</v>
      </c>
    </row>
    <row r="35" spans="1:7" ht="30" customHeight="1" x14ac:dyDescent="0.45">
      <c r="A35" s="22" t="s">
        <v>1567</v>
      </c>
      <c r="B35" s="22" t="s">
        <v>530</v>
      </c>
      <c r="C35" s="3" t="s">
        <v>2348</v>
      </c>
      <c r="D35" s="3" t="s">
        <v>2349</v>
      </c>
      <c r="E35" s="23" t="s">
        <v>2318</v>
      </c>
      <c r="F35" s="3" t="s">
        <v>2316</v>
      </c>
      <c r="G35" s="22" t="s">
        <v>2256</v>
      </c>
    </row>
    <row r="36" spans="1:7" ht="45" customHeight="1" x14ac:dyDescent="0.45">
      <c r="A36" s="22" t="s">
        <v>1571</v>
      </c>
      <c r="B36" s="22" t="s">
        <v>530</v>
      </c>
      <c r="C36" s="3" t="s">
        <v>2350</v>
      </c>
      <c r="D36" s="3" t="s">
        <v>2351</v>
      </c>
      <c r="E36" s="23" t="s">
        <v>2315</v>
      </c>
      <c r="F36" s="3" t="s">
        <v>2316</v>
      </c>
      <c r="G36" s="22" t="s">
        <v>2256</v>
      </c>
    </row>
    <row r="37" spans="1:7" ht="30" customHeight="1" x14ac:dyDescent="0.45">
      <c r="A37" s="22" t="s">
        <v>1584</v>
      </c>
      <c r="B37" s="22" t="s">
        <v>530</v>
      </c>
      <c r="C37" s="3" t="s">
        <v>2352</v>
      </c>
      <c r="D37" s="3" t="s">
        <v>2351</v>
      </c>
      <c r="E37" s="23" t="s">
        <v>2353</v>
      </c>
      <c r="F37" s="3" t="s">
        <v>2316</v>
      </c>
      <c r="G37" s="22" t="s">
        <v>2256</v>
      </c>
    </row>
    <row r="38" spans="1:7" ht="45" customHeight="1" x14ac:dyDescent="0.45">
      <c r="A38" s="22" t="s">
        <v>1577</v>
      </c>
      <c r="B38" s="22" t="s">
        <v>530</v>
      </c>
      <c r="C38" s="3" t="s">
        <v>2354</v>
      </c>
      <c r="D38" s="3" t="s">
        <v>2351</v>
      </c>
      <c r="E38" s="23" t="s">
        <v>2355</v>
      </c>
      <c r="F38" s="3" t="s">
        <v>2356</v>
      </c>
      <c r="G38" s="22" t="s">
        <v>2256</v>
      </c>
    </row>
    <row r="39" spans="1:7" ht="30" customHeight="1" x14ac:dyDescent="0.45">
      <c r="A39" s="22" t="s">
        <v>1588</v>
      </c>
      <c r="B39" s="22" t="s">
        <v>530</v>
      </c>
      <c r="C39" s="3" t="s">
        <v>2357</v>
      </c>
      <c r="D39" s="3" t="s">
        <v>2349</v>
      </c>
      <c r="E39" s="23" t="s">
        <v>2358</v>
      </c>
      <c r="F39" s="3" t="s">
        <v>2359</v>
      </c>
      <c r="G39" s="22" t="s">
        <v>2256</v>
      </c>
    </row>
    <row r="40" spans="1:7" ht="30" customHeight="1" x14ac:dyDescent="0.45">
      <c r="A40" s="22" t="s">
        <v>1601</v>
      </c>
      <c r="B40" s="22" t="s">
        <v>530</v>
      </c>
      <c r="C40" s="3" t="s">
        <v>2360</v>
      </c>
      <c r="D40" s="3" t="s">
        <v>2349</v>
      </c>
      <c r="E40" s="23" t="s">
        <v>2361</v>
      </c>
      <c r="F40" s="3" t="s">
        <v>2362</v>
      </c>
      <c r="G40" s="22" t="s">
        <v>2256</v>
      </c>
    </row>
    <row r="41" spans="1:7" ht="30" customHeight="1" x14ac:dyDescent="0.45">
      <c r="A41" s="22" t="s">
        <v>1568</v>
      </c>
      <c r="B41" s="22" t="s">
        <v>530</v>
      </c>
      <c r="C41" s="3" t="s">
        <v>2363</v>
      </c>
      <c r="D41" s="3" t="s">
        <v>2349</v>
      </c>
      <c r="E41" s="23" t="s">
        <v>2364</v>
      </c>
      <c r="F41" s="3" t="s">
        <v>2365</v>
      </c>
      <c r="G41" s="22" t="s">
        <v>2256</v>
      </c>
    </row>
    <row r="42" spans="1:7" ht="30" customHeight="1" x14ac:dyDescent="0.45">
      <c r="A42" s="22" t="s">
        <v>2366</v>
      </c>
      <c r="B42" s="22" t="s">
        <v>530</v>
      </c>
      <c r="C42" s="3" t="s">
        <v>2367</v>
      </c>
      <c r="D42" s="3" t="s">
        <v>2349</v>
      </c>
      <c r="E42" s="23" t="s">
        <v>2368</v>
      </c>
      <c r="F42" s="3" t="s">
        <v>2369</v>
      </c>
      <c r="G42" s="22" t="s">
        <v>2256</v>
      </c>
    </row>
    <row r="43" spans="1:7" ht="30" customHeight="1" x14ac:dyDescent="0.45">
      <c r="A43" s="22" t="s">
        <v>1596</v>
      </c>
      <c r="B43" s="22" t="s">
        <v>530</v>
      </c>
      <c r="C43" s="3" t="s">
        <v>2370</v>
      </c>
      <c r="D43" s="3" t="s">
        <v>2349</v>
      </c>
      <c r="E43" s="23" t="s">
        <v>2371</v>
      </c>
      <c r="F43" s="3" t="s">
        <v>2372</v>
      </c>
      <c r="G43" s="22" t="s">
        <v>2256</v>
      </c>
    </row>
    <row r="44" spans="1:7" ht="30" customHeight="1" x14ac:dyDescent="0.45">
      <c r="A44" s="22" t="s">
        <v>2373</v>
      </c>
      <c r="B44" s="22" t="s">
        <v>530</v>
      </c>
      <c r="C44" s="3" t="s">
        <v>2374</v>
      </c>
      <c r="D44" s="3" t="s">
        <v>2349</v>
      </c>
      <c r="E44" s="23" t="s">
        <v>2375</v>
      </c>
      <c r="F44" s="3" t="s">
        <v>2376</v>
      </c>
      <c r="G44" s="22" t="s">
        <v>2256</v>
      </c>
    </row>
    <row r="45" spans="1:7" ht="30" customHeight="1" x14ac:dyDescent="0.45">
      <c r="A45" s="22" t="s">
        <v>2377</v>
      </c>
      <c r="B45" s="22" t="s">
        <v>530</v>
      </c>
      <c r="C45" s="3" t="s">
        <v>2378</v>
      </c>
      <c r="D45" s="3" t="s">
        <v>2349</v>
      </c>
      <c r="E45" s="23" t="s">
        <v>2379</v>
      </c>
      <c r="F45" s="3" t="s">
        <v>2380</v>
      </c>
      <c r="G45" s="22" t="s">
        <v>2256</v>
      </c>
    </row>
    <row r="46" spans="1:7" ht="30" customHeight="1" x14ac:dyDescent="0.45">
      <c r="A46" s="22" t="s">
        <v>2381</v>
      </c>
      <c r="B46" s="22" t="s">
        <v>530</v>
      </c>
      <c r="C46" s="3" t="s">
        <v>2382</v>
      </c>
      <c r="D46" s="3" t="s">
        <v>2062</v>
      </c>
      <c r="E46" s="23" t="s">
        <v>2383</v>
      </c>
      <c r="F46" s="3" t="s">
        <v>2384</v>
      </c>
      <c r="G46" s="22" t="s">
        <v>2256</v>
      </c>
    </row>
    <row r="47" spans="1:7" ht="30" customHeight="1" x14ac:dyDescent="0.45">
      <c r="A47" s="22" t="s">
        <v>2385</v>
      </c>
      <c r="B47" s="22" t="s">
        <v>530</v>
      </c>
      <c r="C47" s="3" t="s">
        <v>2386</v>
      </c>
      <c r="D47" s="3" t="s">
        <v>2349</v>
      </c>
      <c r="E47" s="23" t="s">
        <v>2387</v>
      </c>
      <c r="F47" s="3" t="s">
        <v>2388</v>
      </c>
      <c r="G47" s="22" t="s">
        <v>2256</v>
      </c>
    </row>
    <row r="48" spans="1:7" ht="30" customHeight="1" x14ac:dyDescent="0.45">
      <c r="A48" s="22" t="s">
        <v>2389</v>
      </c>
      <c r="B48" s="22" t="s">
        <v>530</v>
      </c>
      <c r="C48" s="3" t="s">
        <v>2390</v>
      </c>
      <c r="D48" s="3" t="s">
        <v>2062</v>
      </c>
      <c r="E48" s="23" t="s">
        <v>2391</v>
      </c>
      <c r="F48" s="3" t="s">
        <v>2392</v>
      </c>
      <c r="G48" s="22" t="s">
        <v>2256</v>
      </c>
    </row>
    <row r="49" spans="1:7" ht="30" customHeight="1" x14ac:dyDescent="0.45">
      <c r="A49" s="22" t="s">
        <v>908</v>
      </c>
      <c r="B49" s="22" t="s">
        <v>530</v>
      </c>
      <c r="C49" s="3" t="s">
        <v>2393</v>
      </c>
      <c r="D49" s="3" t="s">
        <v>2062</v>
      </c>
      <c r="E49" s="23" t="s">
        <v>2394</v>
      </c>
      <c r="F49" s="3" t="s">
        <v>2395</v>
      </c>
      <c r="G49" s="22" t="s">
        <v>2256</v>
      </c>
    </row>
    <row r="50" spans="1:7" ht="75" customHeight="1" x14ac:dyDescent="0.45">
      <c r="A50" s="22" t="s">
        <v>1632</v>
      </c>
      <c r="B50" s="22" t="s">
        <v>532</v>
      </c>
      <c r="C50" s="3" t="s">
        <v>2396</v>
      </c>
      <c r="D50" s="3" t="s">
        <v>2062</v>
      </c>
      <c r="E50" s="23" t="s">
        <v>2397</v>
      </c>
      <c r="F50" s="3" t="s">
        <v>2398</v>
      </c>
      <c r="G50" s="22" t="s">
        <v>2256</v>
      </c>
    </row>
    <row r="51" spans="1:7" ht="30" customHeight="1" x14ac:dyDescent="0.45">
      <c r="A51" s="22" t="s">
        <v>2399</v>
      </c>
      <c r="B51" s="22" t="s">
        <v>532</v>
      </c>
      <c r="C51" s="3" t="s">
        <v>2400</v>
      </c>
      <c r="D51" s="3" t="s">
        <v>2062</v>
      </c>
      <c r="E51" s="23" t="s">
        <v>2082</v>
      </c>
      <c r="F51" s="3" t="s">
        <v>2291</v>
      </c>
      <c r="G51" s="22" t="s">
        <v>2256</v>
      </c>
    </row>
    <row r="52" spans="1:7" ht="30" customHeight="1" x14ac:dyDescent="0.45">
      <c r="A52" s="22" t="s">
        <v>1677</v>
      </c>
      <c r="B52" s="22" t="s">
        <v>532</v>
      </c>
      <c r="C52" s="3" t="s">
        <v>2401</v>
      </c>
      <c r="D52" s="3" t="s">
        <v>2062</v>
      </c>
      <c r="E52" s="23" t="s">
        <v>2402</v>
      </c>
      <c r="F52" s="3" t="s">
        <v>2403</v>
      </c>
      <c r="G52" s="22" t="s">
        <v>2256</v>
      </c>
    </row>
    <row r="53" spans="1:7" ht="30" customHeight="1" x14ac:dyDescent="0.45">
      <c r="A53" s="22" t="s">
        <v>1634</v>
      </c>
      <c r="B53" s="22" t="s">
        <v>532</v>
      </c>
      <c r="C53" s="3" t="s">
        <v>2404</v>
      </c>
      <c r="D53" s="3" t="s">
        <v>2067</v>
      </c>
      <c r="E53" s="23" t="s">
        <v>2405</v>
      </c>
      <c r="F53" s="3" t="s">
        <v>2406</v>
      </c>
      <c r="G53" s="22" t="s">
        <v>2256</v>
      </c>
    </row>
    <row r="54" spans="1:7" ht="30" customHeight="1" x14ac:dyDescent="0.45">
      <c r="A54" s="22" t="s">
        <v>2407</v>
      </c>
      <c r="B54" s="22" t="s">
        <v>532</v>
      </c>
      <c r="C54" s="3" t="s">
        <v>2408</v>
      </c>
      <c r="D54" s="3" t="s">
        <v>2067</v>
      </c>
      <c r="E54" s="23" t="s">
        <v>2409</v>
      </c>
      <c r="F54" s="3" t="s">
        <v>2410</v>
      </c>
      <c r="G54" s="22" t="s">
        <v>2256</v>
      </c>
    </row>
    <row r="55" spans="1:7" ht="30" customHeight="1" x14ac:dyDescent="0.45">
      <c r="A55" s="22" t="s">
        <v>2411</v>
      </c>
      <c r="B55" s="22" t="s">
        <v>532</v>
      </c>
      <c r="C55" s="3" t="s">
        <v>2412</v>
      </c>
      <c r="D55" s="3" t="s">
        <v>2413</v>
      </c>
      <c r="E55" s="23" t="s">
        <v>2321</v>
      </c>
      <c r="F55" s="3" t="s">
        <v>2414</v>
      </c>
      <c r="G55" s="22" t="s">
        <v>2256</v>
      </c>
    </row>
    <row r="56" spans="1:7" ht="30" customHeight="1" x14ac:dyDescent="0.45">
      <c r="A56" s="22" t="s">
        <v>2415</v>
      </c>
      <c r="B56" s="22" t="s">
        <v>532</v>
      </c>
      <c r="C56" s="3" t="s">
        <v>2416</v>
      </c>
      <c r="D56" s="3" t="s">
        <v>2062</v>
      </c>
      <c r="E56" s="23" t="s">
        <v>2417</v>
      </c>
      <c r="F56" s="3" t="s">
        <v>2291</v>
      </c>
      <c r="G56" s="22" t="s">
        <v>2256</v>
      </c>
    </row>
    <row r="57" spans="1:7" ht="30" customHeight="1" x14ac:dyDescent="0.45">
      <c r="A57" s="22" t="s">
        <v>2418</v>
      </c>
      <c r="B57" s="22" t="s">
        <v>532</v>
      </c>
      <c r="C57" s="3" t="s">
        <v>2419</v>
      </c>
      <c r="D57" s="3" t="s">
        <v>2062</v>
      </c>
      <c r="E57" s="23" t="s">
        <v>2420</v>
      </c>
      <c r="F57" s="3" t="s">
        <v>2336</v>
      </c>
      <c r="G57" s="22" t="s">
        <v>2256</v>
      </c>
    </row>
    <row r="58" spans="1:7" ht="30" customHeight="1" x14ac:dyDescent="0.45">
      <c r="A58" s="22" t="s">
        <v>2421</v>
      </c>
      <c r="B58" s="22" t="s">
        <v>532</v>
      </c>
      <c r="C58" s="3" t="s">
        <v>2422</v>
      </c>
      <c r="D58" s="3" t="s">
        <v>2062</v>
      </c>
      <c r="E58" s="23" t="s">
        <v>2423</v>
      </c>
      <c r="F58" s="3" t="s">
        <v>2336</v>
      </c>
      <c r="G58" s="22" t="s">
        <v>2256</v>
      </c>
    </row>
    <row r="59" spans="1:7" ht="45" customHeight="1" x14ac:dyDescent="0.45">
      <c r="A59" s="22" t="s">
        <v>2424</v>
      </c>
      <c r="B59" s="22" t="s">
        <v>532</v>
      </c>
      <c r="C59" s="3" t="s">
        <v>2425</v>
      </c>
      <c r="D59" s="3" t="s">
        <v>2062</v>
      </c>
      <c r="E59" s="23" t="s">
        <v>2426</v>
      </c>
      <c r="F59" s="3" t="s">
        <v>2427</v>
      </c>
      <c r="G59" s="22" t="s">
        <v>2256</v>
      </c>
    </row>
    <row r="60" spans="1:7" ht="45" customHeight="1" x14ac:dyDescent="0.45">
      <c r="A60" s="22" t="s">
        <v>2428</v>
      </c>
      <c r="B60" s="22" t="s">
        <v>532</v>
      </c>
      <c r="C60" s="3" t="s">
        <v>2429</v>
      </c>
      <c r="D60" s="3" t="s">
        <v>2062</v>
      </c>
      <c r="E60" s="23" t="s">
        <v>2163</v>
      </c>
      <c r="F60" s="3" t="s">
        <v>2430</v>
      </c>
      <c r="G60" s="22" t="s">
        <v>2256</v>
      </c>
    </row>
    <row r="61" spans="1:7" ht="30" customHeight="1" x14ac:dyDescent="0.45">
      <c r="A61" s="22" t="s">
        <v>2431</v>
      </c>
      <c r="B61" s="22" t="s">
        <v>532</v>
      </c>
      <c r="C61" s="3" t="s">
        <v>2432</v>
      </c>
      <c r="D61" s="3" t="s">
        <v>2067</v>
      </c>
      <c r="E61" s="23" t="s">
        <v>2433</v>
      </c>
      <c r="F61" s="3" t="s">
        <v>2316</v>
      </c>
      <c r="G61" s="22" t="s">
        <v>2256</v>
      </c>
    </row>
    <row r="62" spans="1:7" ht="30" customHeight="1" x14ac:dyDescent="0.45">
      <c r="A62" s="22" t="s">
        <v>2434</v>
      </c>
      <c r="B62" s="22" t="s">
        <v>532</v>
      </c>
      <c r="C62" s="3" t="s">
        <v>2435</v>
      </c>
      <c r="D62" s="3" t="s">
        <v>2062</v>
      </c>
      <c r="E62" s="23" t="s">
        <v>2436</v>
      </c>
      <c r="F62" s="3" t="s">
        <v>2291</v>
      </c>
      <c r="G62" s="22" t="s">
        <v>2256</v>
      </c>
    </row>
    <row r="63" spans="1:7" ht="30" customHeight="1" x14ac:dyDescent="0.45">
      <c r="A63" s="22" t="s">
        <v>1476</v>
      </c>
      <c r="B63" s="22" t="s">
        <v>2221</v>
      </c>
      <c r="C63" s="3" t="s">
        <v>2437</v>
      </c>
      <c r="D63" s="3" t="s">
        <v>2098</v>
      </c>
      <c r="E63" s="23" t="s">
        <v>2101</v>
      </c>
      <c r="F63" s="3" t="s">
        <v>2438</v>
      </c>
      <c r="G63" s="22" t="s">
        <v>2256</v>
      </c>
    </row>
    <row r="64" spans="1:7" ht="30" customHeight="1" x14ac:dyDescent="0.45">
      <c r="A64" s="22" t="s">
        <v>1474</v>
      </c>
      <c r="B64" s="22" t="s">
        <v>2221</v>
      </c>
      <c r="C64" s="3" t="s">
        <v>2439</v>
      </c>
      <c r="D64" s="3" t="s">
        <v>2098</v>
      </c>
      <c r="E64" s="23" t="s">
        <v>2440</v>
      </c>
      <c r="F64" s="3" t="s">
        <v>2441</v>
      </c>
      <c r="G64" s="22" t="s">
        <v>2256</v>
      </c>
    </row>
    <row r="65" spans="1:7" ht="30" customHeight="1" x14ac:dyDescent="0.45">
      <c r="A65" s="22" t="s">
        <v>2442</v>
      </c>
      <c r="B65" s="22" t="s">
        <v>2221</v>
      </c>
      <c r="C65" s="3" t="s">
        <v>2139</v>
      </c>
      <c r="D65" s="3" t="s">
        <v>2131</v>
      </c>
      <c r="E65" s="23" t="s">
        <v>2142</v>
      </c>
      <c r="F65" s="3" t="s">
        <v>2291</v>
      </c>
      <c r="G65" s="22" t="s">
        <v>2256</v>
      </c>
    </row>
    <row r="66" spans="1:7" ht="30" customHeight="1" x14ac:dyDescent="0.45">
      <c r="A66" s="22" t="s">
        <v>2443</v>
      </c>
      <c r="B66" s="22" t="s">
        <v>2221</v>
      </c>
      <c r="C66" s="3" t="s">
        <v>2444</v>
      </c>
      <c r="D66" s="3" t="s">
        <v>2131</v>
      </c>
      <c r="E66" s="23" t="s">
        <v>2445</v>
      </c>
      <c r="F66" s="3" t="s">
        <v>2446</v>
      </c>
      <c r="G66" s="22" t="s">
        <v>2256</v>
      </c>
    </row>
    <row r="67" spans="1:7" ht="18" customHeight="1" x14ac:dyDescent="0.45">
      <c r="A67" s="22" t="s">
        <v>2447</v>
      </c>
      <c r="B67" s="22" t="s">
        <v>2221</v>
      </c>
      <c r="C67" s="3" t="s">
        <v>2448</v>
      </c>
      <c r="D67" s="3" t="s">
        <v>2152</v>
      </c>
      <c r="E67" s="23" t="s">
        <v>2155</v>
      </c>
      <c r="F67" s="3" t="s">
        <v>2291</v>
      </c>
      <c r="G67" s="22" t="s">
        <v>2256</v>
      </c>
    </row>
    <row r="68" spans="1:7" ht="45" customHeight="1" x14ac:dyDescent="0.45">
      <c r="A68" s="22" t="s">
        <v>2449</v>
      </c>
      <c r="B68" s="22" t="s">
        <v>2221</v>
      </c>
      <c r="C68" s="3" t="s">
        <v>2450</v>
      </c>
      <c r="D68" s="3" t="s">
        <v>2062</v>
      </c>
      <c r="E68" s="23" t="s">
        <v>2163</v>
      </c>
      <c r="F68" s="3" t="s">
        <v>2451</v>
      </c>
      <c r="G68" s="22" t="s">
        <v>2256</v>
      </c>
    </row>
    <row r="69" spans="1:7" ht="30" customHeight="1" x14ac:dyDescent="0.45">
      <c r="A69" s="22" t="s">
        <v>2452</v>
      </c>
      <c r="B69" s="22" t="s">
        <v>2221</v>
      </c>
      <c r="C69" s="3" t="s">
        <v>2453</v>
      </c>
      <c r="D69" s="3" t="s">
        <v>2062</v>
      </c>
      <c r="E69" s="23" t="s">
        <v>2159</v>
      </c>
      <c r="F69" s="3" t="s">
        <v>2454</v>
      </c>
      <c r="G69" s="22" t="s">
        <v>2256</v>
      </c>
    </row>
    <row r="70" spans="1:7" ht="30" customHeight="1" x14ac:dyDescent="0.45">
      <c r="A70" s="22" t="s">
        <v>2455</v>
      </c>
      <c r="B70" s="22" t="s">
        <v>2221</v>
      </c>
      <c r="C70" s="3" t="s">
        <v>2456</v>
      </c>
      <c r="D70" s="3" t="s">
        <v>2457</v>
      </c>
      <c r="E70" s="23" t="s">
        <v>2458</v>
      </c>
      <c r="F70" s="3" t="s">
        <v>2291</v>
      </c>
      <c r="G70" s="22" t="s">
        <v>2256</v>
      </c>
    </row>
    <row r="71" spans="1:7" ht="18" customHeight="1" x14ac:dyDescent="0.45">
      <c r="A71" s="22" t="s">
        <v>2459</v>
      </c>
      <c r="B71" s="22" t="s">
        <v>2221</v>
      </c>
      <c r="C71" s="3" t="s">
        <v>2460</v>
      </c>
      <c r="D71" s="3" t="s">
        <v>2457</v>
      </c>
      <c r="E71" s="23" t="s">
        <v>2461</v>
      </c>
      <c r="F71" s="3" t="s">
        <v>2462</v>
      </c>
      <c r="G71" s="22" t="s">
        <v>2256</v>
      </c>
    </row>
    <row r="72" spans="1:7" ht="60" customHeight="1" x14ac:dyDescent="0.45">
      <c r="A72" s="22" t="s">
        <v>2463</v>
      </c>
      <c r="B72" s="22" t="s">
        <v>2221</v>
      </c>
      <c r="C72" s="3" t="s">
        <v>2464</v>
      </c>
      <c r="D72" s="3" t="s">
        <v>2465</v>
      </c>
      <c r="E72" s="23" t="s">
        <v>2466</v>
      </c>
      <c r="F72" s="3" t="s">
        <v>2291</v>
      </c>
      <c r="G72" s="22" t="s">
        <v>2256</v>
      </c>
    </row>
    <row r="73" spans="1:7" ht="45" customHeight="1" x14ac:dyDescent="0.45">
      <c r="A73" s="22" t="s">
        <v>2467</v>
      </c>
      <c r="B73" s="22" t="s">
        <v>2221</v>
      </c>
      <c r="C73" s="3" t="s">
        <v>2468</v>
      </c>
      <c r="D73" s="3" t="s">
        <v>2465</v>
      </c>
      <c r="E73" s="23" t="s">
        <v>2469</v>
      </c>
      <c r="F73" s="3" t="s">
        <v>2470</v>
      </c>
      <c r="G73" s="22" t="s">
        <v>2256</v>
      </c>
    </row>
    <row r="74" spans="1:7" ht="60" customHeight="1" x14ac:dyDescent="0.45">
      <c r="A74" s="22" t="s">
        <v>2471</v>
      </c>
      <c r="B74" s="22" t="s">
        <v>2221</v>
      </c>
      <c r="C74" s="3" t="s">
        <v>2472</v>
      </c>
      <c r="D74" s="3" t="s">
        <v>2098</v>
      </c>
      <c r="E74" s="23" t="s">
        <v>2473</v>
      </c>
      <c r="F74" s="3" t="s">
        <v>2474</v>
      </c>
      <c r="G74" s="22" t="s">
        <v>2256</v>
      </c>
    </row>
    <row r="75" spans="1:7" ht="30" customHeight="1" x14ac:dyDescent="0.45">
      <c r="A75" s="22" t="s">
        <v>2475</v>
      </c>
      <c r="B75" s="22" t="s">
        <v>2221</v>
      </c>
      <c r="C75" s="3" t="s">
        <v>2476</v>
      </c>
      <c r="D75" s="3" t="s">
        <v>2131</v>
      </c>
      <c r="E75" s="23" t="s">
        <v>2477</v>
      </c>
      <c r="F75" s="3" t="s">
        <v>2291</v>
      </c>
      <c r="G75" s="22" t="s">
        <v>2256</v>
      </c>
    </row>
    <row r="76" spans="1:7" ht="45" customHeight="1" x14ac:dyDescent="0.45">
      <c r="A76" s="22" t="s">
        <v>2478</v>
      </c>
      <c r="B76" s="22" t="s">
        <v>2221</v>
      </c>
      <c r="C76" s="3" t="s">
        <v>2479</v>
      </c>
      <c r="D76" s="3" t="s">
        <v>2062</v>
      </c>
      <c r="E76" s="23" t="s">
        <v>2480</v>
      </c>
      <c r="F76" s="3" t="s">
        <v>2291</v>
      </c>
      <c r="G76" s="22" t="s">
        <v>2256</v>
      </c>
    </row>
    <row r="77" spans="1:7" ht="45" customHeight="1" x14ac:dyDescent="0.45">
      <c r="A77" s="22" t="s">
        <v>906</v>
      </c>
      <c r="B77" s="22" t="s">
        <v>2481</v>
      </c>
      <c r="C77" s="3" t="s">
        <v>2482</v>
      </c>
      <c r="D77" s="3" t="s">
        <v>2483</v>
      </c>
      <c r="E77" s="23" t="s">
        <v>2484</v>
      </c>
      <c r="F77" s="3" t="s">
        <v>2485</v>
      </c>
      <c r="G77" s="22" t="s">
        <v>2256</v>
      </c>
    </row>
    <row r="78" spans="1:7" ht="30" customHeight="1" x14ac:dyDescent="0.45">
      <c r="A78" s="22" t="s">
        <v>914</v>
      </c>
      <c r="B78" s="22" t="s">
        <v>2481</v>
      </c>
      <c r="C78" s="3" t="s">
        <v>2194</v>
      </c>
      <c r="D78" s="3" t="s">
        <v>2195</v>
      </c>
      <c r="E78" s="23" t="s">
        <v>2198</v>
      </c>
      <c r="F78" s="3" t="s">
        <v>2486</v>
      </c>
      <c r="G78" s="22" t="s">
        <v>2256</v>
      </c>
    </row>
    <row r="79" spans="1:7" ht="30" customHeight="1" x14ac:dyDescent="0.45">
      <c r="A79" s="22" t="s">
        <v>2487</v>
      </c>
      <c r="B79" s="22" t="s">
        <v>2481</v>
      </c>
      <c r="C79" s="3" t="s">
        <v>2488</v>
      </c>
      <c r="D79" s="3" t="s">
        <v>2062</v>
      </c>
      <c r="E79" s="23" t="s">
        <v>2489</v>
      </c>
      <c r="F79" s="3" t="s">
        <v>2291</v>
      </c>
      <c r="G79" s="22" t="s">
        <v>2256</v>
      </c>
    </row>
    <row r="80" spans="1:7" ht="30" customHeight="1" x14ac:dyDescent="0.45">
      <c r="A80" s="22" t="s">
        <v>2490</v>
      </c>
      <c r="B80" s="22" t="s">
        <v>2481</v>
      </c>
      <c r="C80" s="3" t="s">
        <v>2491</v>
      </c>
      <c r="D80" s="3" t="s">
        <v>2062</v>
      </c>
      <c r="E80" s="23" t="s">
        <v>2492</v>
      </c>
      <c r="F80" s="3" t="s">
        <v>2291</v>
      </c>
      <c r="G80" s="22" t="s">
        <v>2256</v>
      </c>
    </row>
    <row r="81" spans="1:7" ht="30" customHeight="1" x14ac:dyDescent="0.45">
      <c r="A81" s="22" t="s">
        <v>901</v>
      </c>
      <c r="B81" s="22" t="s">
        <v>2481</v>
      </c>
      <c r="C81" s="3" t="s">
        <v>2493</v>
      </c>
      <c r="D81" s="3" t="s">
        <v>2062</v>
      </c>
      <c r="E81" s="23" t="s">
        <v>2494</v>
      </c>
      <c r="F81" s="3" t="s">
        <v>2495</v>
      </c>
      <c r="G81" s="22" t="s">
        <v>2256</v>
      </c>
    </row>
    <row r="82" spans="1:7" ht="30" customHeight="1" x14ac:dyDescent="0.45">
      <c r="A82" s="22" t="s">
        <v>897</v>
      </c>
      <c r="B82" s="22" t="s">
        <v>2481</v>
      </c>
      <c r="C82" s="3" t="s">
        <v>2496</v>
      </c>
      <c r="D82" s="3" t="s">
        <v>2497</v>
      </c>
      <c r="E82" s="23" t="s">
        <v>2498</v>
      </c>
      <c r="F82" s="3" t="s">
        <v>2499</v>
      </c>
      <c r="G82" s="22" t="s">
        <v>2256</v>
      </c>
    </row>
    <row r="83" spans="1:7" ht="60" customHeight="1" x14ac:dyDescent="0.45">
      <c r="A83" s="22" t="s">
        <v>2500</v>
      </c>
      <c r="B83" s="22" t="s">
        <v>2481</v>
      </c>
      <c r="C83" s="3" t="s">
        <v>2501</v>
      </c>
      <c r="D83" s="3" t="s">
        <v>2502</v>
      </c>
      <c r="E83" s="23" t="s">
        <v>2503</v>
      </c>
      <c r="F83" s="3" t="s">
        <v>2504</v>
      </c>
      <c r="G83" s="22" t="s">
        <v>2256</v>
      </c>
    </row>
    <row r="84" spans="1:7" ht="45" customHeight="1" x14ac:dyDescent="0.45">
      <c r="A84" s="22" t="s">
        <v>910</v>
      </c>
      <c r="B84" s="22" t="s">
        <v>2481</v>
      </c>
      <c r="C84" s="3" t="s">
        <v>2505</v>
      </c>
      <c r="D84" s="3" t="s">
        <v>2062</v>
      </c>
      <c r="E84" s="23" t="s">
        <v>2506</v>
      </c>
      <c r="F84" s="3" t="s">
        <v>2291</v>
      </c>
      <c r="G84" s="22" t="s">
        <v>2256</v>
      </c>
    </row>
    <row r="85" spans="1:7" ht="30" customHeight="1" x14ac:dyDescent="0.45">
      <c r="A85" s="22" t="s">
        <v>2507</v>
      </c>
      <c r="B85" s="22" t="s">
        <v>2481</v>
      </c>
      <c r="C85" s="3" t="s">
        <v>2508</v>
      </c>
      <c r="D85" s="3" t="s">
        <v>2509</v>
      </c>
      <c r="E85" s="23" t="s">
        <v>2510</v>
      </c>
      <c r="F85" s="3" t="s">
        <v>2511</v>
      </c>
      <c r="G85" s="22" t="s">
        <v>2256</v>
      </c>
    </row>
    <row r="86" spans="1:7" ht="45" customHeight="1" x14ac:dyDescent="0.45">
      <c r="A86" s="22" t="s">
        <v>2512</v>
      </c>
      <c r="B86" s="22" t="s">
        <v>2513</v>
      </c>
      <c r="C86" s="3" t="s">
        <v>2514</v>
      </c>
      <c r="D86" s="3" t="s">
        <v>2093</v>
      </c>
      <c r="E86" s="23" t="s">
        <v>2105</v>
      </c>
      <c r="F86" s="3" t="s">
        <v>2515</v>
      </c>
      <c r="G86" s="22" t="s">
        <v>2256</v>
      </c>
    </row>
    <row r="87" spans="1:7" ht="45" customHeight="1" x14ac:dyDescent="0.45">
      <c r="A87" s="22" t="s">
        <v>2516</v>
      </c>
      <c r="B87" s="22" t="s">
        <v>2513</v>
      </c>
      <c r="C87" s="3" t="s">
        <v>2517</v>
      </c>
      <c r="D87" s="3" t="s">
        <v>2093</v>
      </c>
      <c r="E87" s="23" t="s">
        <v>2518</v>
      </c>
      <c r="F87" s="3" t="s">
        <v>2519</v>
      </c>
      <c r="G87" s="22" t="s">
        <v>2256</v>
      </c>
    </row>
    <row r="88" spans="1:7" ht="45" customHeight="1" x14ac:dyDescent="0.45">
      <c r="A88" s="22" t="s">
        <v>2520</v>
      </c>
      <c r="B88" s="22" t="s">
        <v>2513</v>
      </c>
      <c r="C88" s="3" t="s">
        <v>2521</v>
      </c>
      <c r="D88" s="3" t="s">
        <v>2522</v>
      </c>
      <c r="E88" s="23" t="s">
        <v>2523</v>
      </c>
      <c r="F88" s="3" t="s">
        <v>2519</v>
      </c>
      <c r="G88" s="22" t="s">
        <v>2256</v>
      </c>
    </row>
    <row r="89" spans="1:7" ht="45" customHeight="1" x14ac:dyDescent="0.45">
      <c r="A89" s="22" t="s">
        <v>2524</v>
      </c>
      <c r="B89" s="22" t="s">
        <v>2513</v>
      </c>
      <c r="C89" s="3" t="s">
        <v>2525</v>
      </c>
      <c r="D89" s="3" t="s">
        <v>2093</v>
      </c>
      <c r="E89" s="23" t="s">
        <v>2526</v>
      </c>
      <c r="F89" s="3" t="s">
        <v>2527</v>
      </c>
      <c r="G89" s="22" t="s">
        <v>2256</v>
      </c>
    </row>
    <row r="90" spans="1:7" ht="45" customHeight="1" x14ac:dyDescent="0.45">
      <c r="A90" s="22" t="s">
        <v>2528</v>
      </c>
      <c r="B90" s="22" t="s">
        <v>2513</v>
      </c>
      <c r="C90" s="3" t="s">
        <v>2529</v>
      </c>
      <c r="D90" s="3" t="s">
        <v>2530</v>
      </c>
      <c r="E90" s="23" t="s">
        <v>2531</v>
      </c>
      <c r="F90" s="3" t="s">
        <v>2291</v>
      </c>
      <c r="G90" s="22" t="s">
        <v>2256</v>
      </c>
    </row>
    <row r="91" spans="1:7" ht="30" customHeight="1" x14ac:dyDescent="0.45">
      <c r="A91" s="22" t="s">
        <v>654</v>
      </c>
      <c r="B91" s="22" t="s">
        <v>2532</v>
      </c>
      <c r="C91" s="3" t="s">
        <v>2533</v>
      </c>
      <c r="D91" s="3" t="s">
        <v>2131</v>
      </c>
      <c r="E91" s="23" t="s">
        <v>2142</v>
      </c>
      <c r="F91" s="3" t="s">
        <v>2534</v>
      </c>
      <c r="G91" s="22" t="s">
        <v>2256</v>
      </c>
    </row>
    <row r="92" spans="1:7" ht="18" customHeight="1" x14ac:dyDescent="0.45">
      <c r="A92" s="22" t="s">
        <v>2535</v>
      </c>
      <c r="B92" s="22" t="s">
        <v>2532</v>
      </c>
      <c r="C92" s="3" t="s">
        <v>2536</v>
      </c>
      <c r="D92" s="3" t="s">
        <v>2152</v>
      </c>
      <c r="E92" s="23" t="s">
        <v>2155</v>
      </c>
      <c r="F92" s="3" t="s">
        <v>2291</v>
      </c>
      <c r="G92" s="22" t="s">
        <v>2256</v>
      </c>
    </row>
    <row r="93" spans="1:7" ht="30" customHeight="1" x14ac:dyDescent="0.45">
      <c r="A93" s="22" t="s">
        <v>2537</v>
      </c>
      <c r="B93" s="22" t="s">
        <v>2532</v>
      </c>
      <c r="C93" s="3" t="s">
        <v>2538</v>
      </c>
      <c r="D93" s="3" t="s">
        <v>2062</v>
      </c>
      <c r="E93" s="23" t="s">
        <v>2539</v>
      </c>
      <c r="F93" s="3" t="s">
        <v>2291</v>
      </c>
      <c r="G93" s="22" t="s">
        <v>2256</v>
      </c>
    </row>
    <row r="94" spans="1:7" ht="30" customHeight="1" x14ac:dyDescent="0.45">
      <c r="A94" s="22" t="s">
        <v>2540</v>
      </c>
      <c r="B94" s="22" t="s">
        <v>2532</v>
      </c>
      <c r="C94" s="3" t="s">
        <v>2541</v>
      </c>
      <c r="D94" s="3" t="s">
        <v>2131</v>
      </c>
      <c r="E94" s="23" t="s">
        <v>2477</v>
      </c>
      <c r="F94" s="3" t="s">
        <v>2291</v>
      </c>
      <c r="G94" s="22" t="s">
        <v>2256</v>
      </c>
    </row>
    <row r="95" spans="1:7" ht="30" customHeight="1" x14ac:dyDescent="0.45">
      <c r="A95" s="22" t="s">
        <v>2542</v>
      </c>
      <c r="B95" s="22" t="s">
        <v>2532</v>
      </c>
      <c r="C95" s="3" t="s">
        <v>2543</v>
      </c>
      <c r="D95" s="3" t="s">
        <v>2062</v>
      </c>
      <c r="E95" s="23" t="s">
        <v>2544</v>
      </c>
      <c r="F95" s="3" t="s">
        <v>2291</v>
      </c>
      <c r="G95" s="22" t="s">
        <v>2256</v>
      </c>
    </row>
    <row r="96" spans="1:7" ht="30" customHeight="1" x14ac:dyDescent="0.45">
      <c r="A96" s="22" t="s">
        <v>2545</v>
      </c>
      <c r="B96" s="22" t="s">
        <v>2532</v>
      </c>
      <c r="C96" s="3" t="s">
        <v>2546</v>
      </c>
      <c r="D96" s="3" t="s">
        <v>2152</v>
      </c>
      <c r="E96" s="23" t="s">
        <v>2547</v>
      </c>
      <c r="F96" s="3" t="s">
        <v>2291</v>
      </c>
      <c r="G96" s="22" t="s">
        <v>2256</v>
      </c>
    </row>
    <row r="97" spans="1:7" ht="30" customHeight="1" x14ac:dyDescent="0.45">
      <c r="A97" s="22" t="s">
        <v>2548</v>
      </c>
      <c r="B97" s="22" t="s">
        <v>2532</v>
      </c>
      <c r="C97" s="3" t="s">
        <v>2549</v>
      </c>
      <c r="D97" s="3" t="s">
        <v>2062</v>
      </c>
      <c r="E97" s="23" t="s">
        <v>2550</v>
      </c>
      <c r="F97" s="3" t="s">
        <v>2551</v>
      </c>
      <c r="G97" s="22" t="s">
        <v>2256</v>
      </c>
    </row>
    <row r="98" spans="1:7" ht="45" customHeight="1" x14ac:dyDescent="0.45">
      <c r="A98" s="22" t="s">
        <v>2552</v>
      </c>
      <c r="B98" s="22" t="s">
        <v>2532</v>
      </c>
      <c r="C98" s="3" t="s">
        <v>2450</v>
      </c>
      <c r="D98" s="3" t="s">
        <v>2062</v>
      </c>
      <c r="E98" s="23" t="s">
        <v>2163</v>
      </c>
      <c r="F98" s="3" t="s">
        <v>2553</v>
      </c>
      <c r="G98" s="22" t="s">
        <v>2256</v>
      </c>
    </row>
    <row r="99" spans="1:7" ht="18" customHeight="1" x14ac:dyDescent="0.45">
      <c r="A99" s="22" t="s">
        <v>2554</v>
      </c>
      <c r="B99" s="22" t="s">
        <v>2532</v>
      </c>
      <c r="C99" s="3" t="s">
        <v>2555</v>
      </c>
      <c r="D99" s="3" t="s">
        <v>2556</v>
      </c>
      <c r="E99" s="23" t="s">
        <v>2557</v>
      </c>
      <c r="F99" s="3" t="s">
        <v>2558</v>
      </c>
      <c r="G99" s="22" t="s">
        <v>2256</v>
      </c>
    </row>
    <row r="100" spans="1:7" ht="18" customHeight="1" x14ac:dyDescent="0.45">
      <c r="A100" s="22" t="s">
        <v>2559</v>
      </c>
      <c r="B100" s="22" t="s">
        <v>2532</v>
      </c>
      <c r="C100" s="3" t="s">
        <v>2560</v>
      </c>
      <c r="D100" s="3" t="s">
        <v>2062</v>
      </c>
      <c r="E100" s="23" t="s">
        <v>2561</v>
      </c>
      <c r="F100" s="3" t="s">
        <v>2562</v>
      </c>
      <c r="G100" s="22" t="s">
        <v>2256</v>
      </c>
    </row>
    <row r="101" spans="1:7" ht="30" customHeight="1" x14ac:dyDescent="0.45">
      <c r="A101" s="22" t="s">
        <v>2563</v>
      </c>
      <c r="B101" s="22" t="s">
        <v>2532</v>
      </c>
      <c r="C101" s="3" t="s">
        <v>2564</v>
      </c>
      <c r="D101" s="3" t="s">
        <v>2062</v>
      </c>
      <c r="E101" s="23" t="s">
        <v>2565</v>
      </c>
      <c r="F101" s="3" t="s">
        <v>2566</v>
      </c>
      <c r="G101" s="22" t="s">
        <v>2256</v>
      </c>
    </row>
    <row r="102" spans="1:7" ht="30" customHeight="1" x14ac:dyDescent="0.45">
      <c r="A102" s="22" t="s">
        <v>2567</v>
      </c>
      <c r="B102" s="22" t="s">
        <v>2532</v>
      </c>
      <c r="C102" s="3" t="s">
        <v>2568</v>
      </c>
      <c r="D102" s="3" t="s">
        <v>2062</v>
      </c>
      <c r="E102" s="23" t="s">
        <v>2159</v>
      </c>
      <c r="F102" s="3" t="s">
        <v>2569</v>
      </c>
      <c r="G102" s="22" t="s">
        <v>2256</v>
      </c>
    </row>
    <row r="103" spans="1:7" ht="30" customHeight="1" x14ac:dyDescent="0.45">
      <c r="A103" s="22" t="s">
        <v>2570</v>
      </c>
      <c r="B103" s="22" t="s">
        <v>2532</v>
      </c>
      <c r="C103" s="3" t="s">
        <v>2571</v>
      </c>
      <c r="D103" s="3" t="s">
        <v>2062</v>
      </c>
      <c r="E103" s="23" t="s">
        <v>2572</v>
      </c>
      <c r="F103" s="3" t="s">
        <v>2573</v>
      </c>
      <c r="G103" s="22" t="s">
        <v>2256</v>
      </c>
    </row>
    <row r="104" spans="1:7" ht="30" customHeight="1" x14ac:dyDescent="0.45">
      <c r="A104" s="22" t="s">
        <v>2574</v>
      </c>
      <c r="B104" s="22" t="s">
        <v>2532</v>
      </c>
      <c r="C104" s="3" t="s">
        <v>2575</v>
      </c>
      <c r="D104" s="3" t="s">
        <v>2131</v>
      </c>
      <c r="E104" s="23" t="s">
        <v>2576</v>
      </c>
      <c r="F104" s="3" t="s">
        <v>2577</v>
      </c>
      <c r="G104" s="22" t="s">
        <v>2256</v>
      </c>
    </row>
    <row r="105" spans="1:7" ht="18" customHeight="1" x14ac:dyDescent="0.45">
      <c r="A105" s="22" t="s">
        <v>2578</v>
      </c>
      <c r="B105" s="22" t="s">
        <v>2532</v>
      </c>
      <c r="C105" s="3" t="s">
        <v>2579</v>
      </c>
      <c r="D105" s="3" t="s">
        <v>2131</v>
      </c>
      <c r="E105" s="23" t="s">
        <v>2580</v>
      </c>
      <c r="F105" s="3" t="s">
        <v>2581</v>
      </c>
      <c r="G105" s="22" t="s">
        <v>2256</v>
      </c>
    </row>
    <row r="106" spans="1:7" ht="60" customHeight="1" x14ac:dyDescent="0.45">
      <c r="A106" s="22" t="s">
        <v>2582</v>
      </c>
      <c r="B106" s="22" t="s">
        <v>2532</v>
      </c>
      <c r="C106" s="3" t="s">
        <v>2583</v>
      </c>
      <c r="D106" s="3" t="s">
        <v>2131</v>
      </c>
      <c r="E106" s="23" t="s">
        <v>2584</v>
      </c>
      <c r="F106" s="3" t="s">
        <v>2291</v>
      </c>
      <c r="G106" s="22" t="s">
        <v>2256</v>
      </c>
    </row>
    <row r="107" spans="1:7" ht="18" customHeight="1" x14ac:dyDescent="0.45">
      <c r="A107" s="22" t="s">
        <v>2585</v>
      </c>
      <c r="B107" s="22" t="s">
        <v>2532</v>
      </c>
      <c r="C107" s="3" t="s">
        <v>2586</v>
      </c>
      <c r="D107" s="3" t="s">
        <v>2587</v>
      </c>
      <c r="E107" s="23" t="s">
        <v>2588</v>
      </c>
      <c r="F107" s="3" t="s">
        <v>2589</v>
      </c>
      <c r="G107" s="22" t="s">
        <v>2256</v>
      </c>
    </row>
    <row r="108" spans="1:7" ht="105" customHeight="1" x14ac:dyDescent="0.45">
      <c r="A108" s="22" t="s">
        <v>2590</v>
      </c>
      <c r="B108" s="22" t="s">
        <v>2532</v>
      </c>
      <c r="C108" s="3" t="s">
        <v>2591</v>
      </c>
      <c r="D108" s="3" t="s">
        <v>2152</v>
      </c>
      <c r="E108" s="23" t="s">
        <v>2592</v>
      </c>
      <c r="F108" s="3" t="s">
        <v>2291</v>
      </c>
      <c r="G108" s="22" t="s">
        <v>2256</v>
      </c>
    </row>
    <row r="109" spans="1:7" ht="30" customHeight="1" x14ac:dyDescent="0.45">
      <c r="A109" s="22" t="s">
        <v>2593</v>
      </c>
      <c r="B109" s="22" t="s">
        <v>2532</v>
      </c>
      <c r="C109" s="3" t="s">
        <v>2594</v>
      </c>
      <c r="D109" s="3" t="s">
        <v>2152</v>
      </c>
      <c r="E109" s="23" t="s">
        <v>2595</v>
      </c>
      <c r="F109" s="3" t="s">
        <v>2596</v>
      </c>
      <c r="G109" s="22" t="s">
        <v>2256</v>
      </c>
    </row>
    <row r="110" spans="1:7" ht="18" customHeight="1" x14ac:dyDescent="0.45">
      <c r="A110" s="22" t="s">
        <v>2597</v>
      </c>
      <c r="B110" s="22" t="s">
        <v>2532</v>
      </c>
      <c r="C110" s="3" t="s">
        <v>2598</v>
      </c>
      <c r="D110" s="3" t="s">
        <v>2587</v>
      </c>
      <c r="E110" s="23" t="s">
        <v>2599</v>
      </c>
      <c r="F110" s="3" t="s">
        <v>2600</v>
      </c>
      <c r="G110" s="22" t="s">
        <v>2256</v>
      </c>
    </row>
    <row r="111" spans="1:7" ht="18" customHeight="1" x14ac:dyDescent="0.45">
      <c r="A111" s="22" t="s">
        <v>2601</v>
      </c>
      <c r="B111" s="22" t="s">
        <v>2532</v>
      </c>
      <c r="C111" s="3" t="s">
        <v>2602</v>
      </c>
      <c r="D111" s="3" t="s">
        <v>2152</v>
      </c>
      <c r="E111" s="23" t="s">
        <v>2603</v>
      </c>
      <c r="F111" s="3" t="s">
        <v>2604</v>
      </c>
      <c r="G111" s="22" t="s">
        <v>2256</v>
      </c>
    </row>
    <row r="112" spans="1:7" ht="30" customHeight="1" x14ac:dyDescent="0.45">
      <c r="A112" s="22" t="s">
        <v>2605</v>
      </c>
      <c r="B112" s="22" t="s">
        <v>2532</v>
      </c>
      <c r="C112" s="3" t="s">
        <v>2606</v>
      </c>
      <c r="D112" s="3" t="s">
        <v>2131</v>
      </c>
      <c r="E112" s="23" t="s">
        <v>2607</v>
      </c>
      <c r="F112" s="3" t="s">
        <v>2291</v>
      </c>
      <c r="G112" s="22" t="s">
        <v>2256</v>
      </c>
    </row>
    <row r="113" spans="1:7" ht="18" customHeight="1" x14ac:dyDescent="0.45">
      <c r="A113" s="22" t="s">
        <v>2608</v>
      </c>
      <c r="B113" s="22" t="s">
        <v>2532</v>
      </c>
      <c r="C113" s="3" t="s">
        <v>2609</v>
      </c>
      <c r="D113" s="3" t="s">
        <v>2483</v>
      </c>
      <c r="E113" s="23" t="s">
        <v>2610</v>
      </c>
      <c r="F113" s="3" t="s">
        <v>2611</v>
      </c>
      <c r="G113" s="22" t="s">
        <v>2256</v>
      </c>
    </row>
    <row r="114" spans="1:7" ht="30" customHeight="1" x14ac:dyDescent="0.45">
      <c r="A114" s="22" t="s">
        <v>2612</v>
      </c>
      <c r="B114" s="22" t="s">
        <v>2532</v>
      </c>
      <c r="C114" s="3" t="s">
        <v>2613</v>
      </c>
      <c r="D114" s="3" t="s">
        <v>2483</v>
      </c>
      <c r="E114" s="23" t="s">
        <v>2484</v>
      </c>
      <c r="F114" s="3" t="s">
        <v>2611</v>
      </c>
      <c r="G114" s="22" t="s">
        <v>2256</v>
      </c>
    </row>
    <row r="115" spans="1:7" ht="18" customHeight="1" x14ac:dyDescent="0.45">
      <c r="A115" s="22" t="s">
        <v>2614</v>
      </c>
      <c r="B115" s="22" t="s">
        <v>2532</v>
      </c>
      <c r="C115" s="3" t="s">
        <v>2615</v>
      </c>
      <c r="D115" s="3" t="s">
        <v>2483</v>
      </c>
      <c r="E115" s="23" t="s">
        <v>2616</v>
      </c>
      <c r="F115" s="3" t="s">
        <v>2617</v>
      </c>
      <c r="G115" s="22" t="s">
        <v>2256</v>
      </c>
    </row>
    <row r="116" spans="1:7" ht="18" customHeight="1" x14ac:dyDescent="0.45">
      <c r="A116" s="22" t="s">
        <v>2618</v>
      </c>
      <c r="B116" s="22" t="s">
        <v>2532</v>
      </c>
      <c r="C116" s="3" t="s">
        <v>2619</v>
      </c>
      <c r="D116" s="3" t="s">
        <v>2483</v>
      </c>
      <c r="E116" s="23" t="s">
        <v>2620</v>
      </c>
      <c r="F116" s="3" t="s">
        <v>2621</v>
      </c>
      <c r="G116" s="22" t="s">
        <v>2256</v>
      </c>
    </row>
    <row r="117" spans="1:7" ht="18" customHeight="1" x14ac:dyDescent="0.45">
      <c r="A117" s="22" t="s">
        <v>2622</v>
      </c>
      <c r="B117" s="22" t="s">
        <v>2532</v>
      </c>
      <c r="C117" s="3" t="s">
        <v>2623</v>
      </c>
      <c r="D117" s="3" t="s">
        <v>2062</v>
      </c>
      <c r="E117" s="23" t="s">
        <v>2624</v>
      </c>
      <c r="F117" s="3" t="s">
        <v>2291</v>
      </c>
      <c r="G117" s="22" t="s">
        <v>2256</v>
      </c>
    </row>
    <row r="118" spans="1:7" ht="45" customHeight="1" x14ac:dyDescent="0.45">
      <c r="A118" s="22" t="s">
        <v>983</v>
      </c>
      <c r="B118" s="22" t="s">
        <v>1280</v>
      </c>
      <c r="C118" s="3" t="s">
        <v>2625</v>
      </c>
      <c r="D118" s="3" t="s">
        <v>2626</v>
      </c>
      <c r="E118" s="23" t="s">
        <v>2627</v>
      </c>
      <c r="F118" s="3" t="s">
        <v>2628</v>
      </c>
      <c r="G118" s="22" t="s">
        <v>2256</v>
      </c>
    </row>
    <row r="119" spans="1:7" ht="45" customHeight="1" x14ac:dyDescent="0.45">
      <c r="A119" s="22" t="s">
        <v>2629</v>
      </c>
      <c r="B119" s="22" t="s">
        <v>1280</v>
      </c>
      <c r="C119" s="3" t="s">
        <v>2630</v>
      </c>
      <c r="D119" s="3" t="s">
        <v>2062</v>
      </c>
      <c r="E119" s="23" t="s">
        <v>2631</v>
      </c>
      <c r="F119" s="3" t="s">
        <v>2632</v>
      </c>
      <c r="G119" s="22" t="s">
        <v>2256</v>
      </c>
    </row>
    <row r="120" spans="1:7" ht="45" customHeight="1" x14ac:dyDescent="0.45">
      <c r="A120" s="22" t="s">
        <v>2633</v>
      </c>
      <c r="B120" s="22" t="s">
        <v>1280</v>
      </c>
      <c r="C120" s="3" t="s">
        <v>2634</v>
      </c>
      <c r="D120" s="3" t="s">
        <v>2062</v>
      </c>
      <c r="E120" s="23" t="s">
        <v>2635</v>
      </c>
      <c r="F120" s="3" t="s">
        <v>2636</v>
      </c>
      <c r="G120" s="22" t="s">
        <v>2256</v>
      </c>
    </row>
    <row r="121" spans="1:7" ht="30" customHeight="1" x14ac:dyDescent="0.45">
      <c r="A121" s="22" t="s">
        <v>1168</v>
      </c>
      <c r="B121" s="22" t="s">
        <v>1280</v>
      </c>
      <c r="C121" s="3" t="s">
        <v>2637</v>
      </c>
      <c r="D121" s="3" t="s">
        <v>2062</v>
      </c>
      <c r="E121" s="23" t="s">
        <v>2638</v>
      </c>
      <c r="F121" s="3" t="s">
        <v>2639</v>
      </c>
      <c r="G121" s="22" t="s">
        <v>2256</v>
      </c>
    </row>
    <row r="122" spans="1:7" ht="30" customHeight="1" x14ac:dyDescent="0.45">
      <c r="A122" s="22" t="s">
        <v>2640</v>
      </c>
      <c r="B122" s="22" t="s">
        <v>1280</v>
      </c>
      <c r="C122" s="3" t="s">
        <v>2641</v>
      </c>
      <c r="D122" s="3" t="s">
        <v>2062</v>
      </c>
      <c r="E122" s="23" t="s">
        <v>2642</v>
      </c>
      <c r="F122" s="3" t="s">
        <v>2639</v>
      </c>
      <c r="G122" s="22" t="s">
        <v>2256</v>
      </c>
    </row>
    <row r="123" spans="1:7" ht="30" customHeight="1" x14ac:dyDescent="0.45">
      <c r="A123" s="22" t="s">
        <v>2643</v>
      </c>
      <c r="B123" s="22" t="s">
        <v>1280</v>
      </c>
      <c r="C123" s="3" t="s">
        <v>2644</v>
      </c>
      <c r="D123" s="3" t="s">
        <v>2645</v>
      </c>
      <c r="E123" s="23" t="s">
        <v>2646</v>
      </c>
      <c r="F123" s="3" t="s">
        <v>2647</v>
      </c>
      <c r="G123" s="22" t="s">
        <v>2256</v>
      </c>
    </row>
    <row r="124" spans="1:7" ht="45" customHeight="1" x14ac:dyDescent="0.45">
      <c r="A124" s="22" t="s">
        <v>1037</v>
      </c>
      <c r="B124" s="22" t="s">
        <v>1280</v>
      </c>
      <c r="C124" s="3" t="s">
        <v>2648</v>
      </c>
      <c r="D124" s="3" t="s">
        <v>2649</v>
      </c>
      <c r="E124" s="23" t="s">
        <v>2650</v>
      </c>
      <c r="F124" s="3" t="s">
        <v>2651</v>
      </c>
      <c r="G124" s="22" t="s">
        <v>2256</v>
      </c>
    </row>
    <row r="125" spans="1:7" ht="45" customHeight="1" x14ac:dyDescent="0.45">
      <c r="A125" s="22" t="s">
        <v>2652</v>
      </c>
      <c r="B125" s="22" t="s">
        <v>1280</v>
      </c>
      <c r="C125" s="3" t="s">
        <v>2653</v>
      </c>
      <c r="D125" s="3" t="s">
        <v>2654</v>
      </c>
      <c r="E125" s="23" t="s">
        <v>2655</v>
      </c>
      <c r="F125" s="3" t="s">
        <v>2651</v>
      </c>
      <c r="G125" s="22" t="s">
        <v>2256</v>
      </c>
    </row>
    <row r="126" spans="1:7" ht="45" customHeight="1" x14ac:dyDescent="0.45">
      <c r="A126" s="22" t="s">
        <v>2656</v>
      </c>
      <c r="B126" s="22" t="s">
        <v>1280</v>
      </c>
      <c r="C126" s="3" t="s">
        <v>2657</v>
      </c>
      <c r="D126" s="3" t="s">
        <v>2165</v>
      </c>
      <c r="E126" s="23" t="s">
        <v>2658</v>
      </c>
      <c r="F126" s="3" t="s">
        <v>2659</v>
      </c>
      <c r="G126" s="22" t="s">
        <v>2256</v>
      </c>
    </row>
    <row r="127" spans="1:7" ht="45" customHeight="1" x14ac:dyDescent="0.45">
      <c r="A127" s="22" t="s">
        <v>2660</v>
      </c>
      <c r="B127" s="22" t="s">
        <v>1280</v>
      </c>
      <c r="C127" s="3" t="s">
        <v>2661</v>
      </c>
      <c r="D127" s="3" t="s">
        <v>2662</v>
      </c>
      <c r="E127" s="23" t="s">
        <v>2663</v>
      </c>
      <c r="F127" s="3" t="s">
        <v>2664</v>
      </c>
      <c r="G127" s="22" t="s">
        <v>2256</v>
      </c>
    </row>
    <row r="128" spans="1:7" ht="30" customHeight="1" x14ac:dyDescent="0.45">
      <c r="A128" s="22" t="s">
        <v>2665</v>
      </c>
      <c r="B128" s="22" t="s">
        <v>1280</v>
      </c>
      <c r="C128" s="3" t="s">
        <v>2666</v>
      </c>
      <c r="D128" s="3" t="s">
        <v>2062</v>
      </c>
      <c r="E128" s="23" t="s">
        <v>2494</v>
      </c>
      <c r="F128" s="3" t="s">
        <v>2495</v>
      </c>
      <c r="G128" s="22" t="s">
        <v>2256</v>
      </c>
    </row>
    <row r="129" spans="1:7" ht="45" customHeight="1" x14ac:dyDescent="0.45">
      <c r="A129" s="22" t="s">
        <v>2667</v>
      </c>
      <c r="B129" s="22" t="s">
        <v>1280</v>
      </c>
      <c r="C129" s="3" t="s">
        <v>2668</v>
      </c>
      <c r="D129" s="3" t="s">
        <v>2483</v>
      </c>
      <c r="E129" s="23" t="s">
        <v>2669</v>
      </c>
      <c r="F129" s="3" t="s">
        <v>2485</v>
      </c>
      <c r="G129" s="22" t="s">
        <v>2256</v>
      </c>
    </row>
    <row r="130" spans="1:7" ht="45" customHeight="1" x14ac:dyDescent="0.45">
      <c r="A130" s="22" t="s">
        <v>2670</v>
      </c>
      <c r="B130" s="22" t="s">
        <v>1280</v>
      </c>
      <c r="C130" s="3" t="s">
        <v>2671</v>
      </c>
      <c r="D130" s="3" t="s">
        <v>2483</v>
      </c>
      <c r="E130" s="23" t="s">
        <v>2484</v>
      </c>
      <c r="F130" s="3" t="s">
        <v>2485</v>
      </c>
      <c r="G130" s="22" t="s">
        <v>2256</v>
      </c>
    </row>
    <row r="131" spans="1:7" ht="75" customHeight="1" x14ac:dyDescent="0.45">
      <c r="A131" s="22" t="s">
        <v>1055</v>
      </c>
      <c r="B131" s="22" t="s">
        <v>1280</v>
      </c>
      <c r="C131" s="3" t="s">
        <v>2672</v>
      </c>
      <c r="D131" s="3" t="s">
        <v>2062</v>
      </c>
      <c r="E131" s="23" t="s">
        <v>2673</v>
      </c>
      <c r="F131" s="3" t="s">
        <v>2674</v>
      </c>
      <c r="G131" s="22" t="s">
        <v>2256</v>
      </c>
    </row>
    <row r="132" spans="1:7" ht="30" customHeight="1" x14ac:dyDescent="0.45">
      <c r="A132" s="22" t="s">
        <v>2675</v>
      </c>
      <c r="B132" s="22" t="s">
        <v>1280</v>
      </c>
      <c r="C132" s="3" t="s">
        <v>2676</v>
      </c>
      <c r="D132" s="3" t="s">
        <v>2062</v>
      </c>
      <c r="E132" s="23" t="s">
        <v>2677</v>
      </c>
      <c r="F132" s="3" t="s">
        <v>2678</v>
      </c>
      <c r="G132" s="22" t="s">
        <v>2256</v>
      </c>
    </row>
    <row r="133" spans="1:7" ht="45" customHeight="1" x14ac:dyDescent="0.45">
      <c r="A133" s="22" t="s">
        <v>1126</v>
      </c>
      <c r="B133" s="22" t="s">
        <v>1280</v>
      </c>
      <c r="C133" s="3" t="s">
        <v>2679</v>
      </c>
      <c r="D133" s="3" t="s">
        <v>2062</v>
      </c>
      <c r="E133" s="23" t="s">
        <v>2680</v>
      </c>
      <c r="F133" s="3" t="s">
        <v>2681</v>
      </c>
      <c r="G133" s="22" t="s">
        <v>2256</v>
      </c>
    </row>
    <row r="134" spans="1:7" ht="30" customHeight="1" x14ac:dyDescent="0.45">
      <c r="A134" s="22" t="s">
        <v>1132</v>
      </c>
      <c r="B134" s="22" t="s">
        <v>1280</v>
      </c>
      <c r="C134" s="3" t="s">
        <v>2682</v>
      </c>
      <c r="D134" s="3" t="s">
        <v>2062</v>
      </c>
      <c r="E134" s="23" t="s">
        <v>2683</v>
      </c>
      <c r="F134" s="3" t="s">
        <v>2684</v>
      </c>
      <c r="G134" s="22" t="s">
        <v>2256</v>
      </c>
    </row>
    <row r="135" spans="1:7" ht="30" customHeight="1" x14ac:dyDescent="0.45">
      <c r="A135" s="22" t="s">
        <v>2685</v>
      </c>
      <c r="B135" s="22" t="s">
        <v>1280</v>
      </c>
      <c r="C135" s="3" t="s">
        <v>2686</v>
      </c>
      <c r="D135" s="3" t="s">
        <v>2062</v>
      </c>
      <c r="E135" s="23" t="s">
        <v>2397</v>
      </c>
      <c r="F135" s="3" t="s">
        <v>2687</v>
      </c>
      <c r="G135" s="22" t="s">
        <v>2256</v>
      </c>
    </row>
    <row r="136" spans="1:7" ht="30" customHeight="1" x14ac:dyDescent="0.45">
      <c r="A136" s="22" t="s">
        <v>2688</v>
      </c>
      <c r="B136" s="22" t="s">
        <v>1280</v>
      </c>
      <c r="C136" s="3" t="s">
        <v>2689</v>
      </c>
      <c r="D136" s="3" t="s">
        <v>2690</v>
      </c>
      <c r="E136" s="23" t="s">
        <v>2691</v>
      </c>
      <c r="F136" s="3" t="s">
        <v>2692</v>
      </c>
      <c r="G136" s="22" t="s">
        <v>2256</v>
      </c>
    </row>
    <row r="137" spans="1:7" ht="30" customHeight="1" x14ac:dyDescent="0.45">
      <c r="A137" s="22" t="s">
        <v>2693</v>
      </c>
      <c r="B137" s="22" t="s">
        <v>1280</v>
      </c>
      <c r="C137" s="3" t="s">
        <v>2694</v>
      </c>
      <c r="D137" s="3" t="s">
        <v>2690</v>
      </c>
      <c r="E137" s="23" t="s">
        <v>2695</v>
      </c>
      <c r="F137" s="3" t="s">
        <v>2696</v>
      </c>
      <c r="G137" s="22" t="s">
        <v>2256</v>
      </c>
    </row>
    <row r="138" spans="1:7" ht="30" customHeight="1" x14ac:dyDescent="0.45">
      <c r="A138" s="22" t="s">
        <v>2697</v>
      </c>
      <c r="B138" s="22" t="s">
        <v>1280</v>
      </c>
      <c r="C138" s="3" t="s">
        <v>2698</v>
      </c>
      <c r="D138" s="3" t="s">
        <v>2699</v>
      </c>
      <c r="E138" s="23" t="s">
        <v>2700</v>
      </c>
      <c r="F138" s="3" t="s">
        <v>2701</v>
      </c>
      <c r="G138" s="22" t="s">
        <v>2256</v>
      </c>
    </row>
    <row r="139" spans="1:7" ht="30" customHeight="1" x14ac:dyDescent="0.45">
      <c r="A139" s="22" t="s">
        <v>2702</v>
      </c>
      <c r="B139" s="22" t="s">
        <v>1280</v>
      </c>
      <c r="C139" s="3" t="s">
        <v>2703</v>
      </c>
      <c r="D139" s="3" t="s">
        <v>2062</v>
      </c>
      <c r="E139" s="23" t="s">
        <v>2417</v>
      </c>
      <c r="F139" s="3" t="s">
        <v>2291</v>
      </c>
      <c r="G139" s="22" t="s">
        <v>2256</v>
      </c>
    </row>
    <row r="140" spans="1:7" ht="30" customHeight="1" x14ac:dyDescent="0.45">
      <c r="A140" s="22" t="s">
        <v>1100</v>
      </c>
      <c r="B140" s="22" t="s">
        <v>1280</v>
      </c>
      <c r="C140" s="3" t="s">
        <v>2704</v>
      </c>
      <c r="D140" s="3" t="s">
        <v>2705</v>
      </c>
      <c r="E140" s="23" t="s">
        <v>2706</v>
      </c>
      <c r="F140" s="3" t="s">
        <v>2707</v>
      </c>
      <c r="G140" s="22" t="s">
        <v>2256</v>
      </c>
    </row>
    <row r="141" spans="1:7" ht="30" customHeight="1" x14ac:dyDescent="0.45">
      <c r="A141" s="22" t="s">
        <v>2708</v>
      </c>
      <c r="B141" s="22" t="s">
        <v>1280</v>
      </c>
      <c r="C141" s="3" t="s">
        <v>2194</v>
      </c>
      <c r="D141" s="3" t="s">
        <v>2195</v>
      </c>
      <c r="E141" s="23" t="s">
        <v>2198</v>
      </c>
      <c r="F141" s="3" t="s">
        <v>2486</v>
      </c>
      <c r="G141" s="22" t="s">
        <v>2256</v>
      </c>
    </row>
    <row r="142" spans="1:7" ht="30" customHeight="1" x14ac:dyDescent="0.45">
      <c r="A142" s="22" t="s">
        <v>1277</v>
      </c>
      <c r="B142" s="22" t="s">
        <v>1280</v>
      </c>
      <c r="C142" s="3" t="s">
        <v>2709</v>
      </c>
      <c r="D142" s="3" t="s">
        <v>2062</v>
      </c>
      <c r="E142" s="23" t="s">
        <v>2342</v>
      </c>
      <c r="F142" s="3" t="s">
        <v>2343</v>
      </c>
      <c r="G142" s="22" t="s">
        <v>2256</v>
      </c>
    </row>
    <row r="143" spans="1:7" ht="30" customHeight="1" x14ac:dyDescent="0.45">
      <c r="A143" s="22" t="s">
        <v>2710</v>
      </c>
      <c r="B143" s="22" t="s">
        <v>1280</v>
      </c>
      <c r="C143" s="3" t="s">
        <v>2711</v>
      </c>
      <c r="D143" s="3" t="s">
        <v>2712</v>
      </c>
      <c r="E143" s="23" t="s">
        <v>2713</v>
      </c>
      <c r="F143" s="3" t="s">
        <v>2714</v>
      </c>
      <c r="G143" s="22" t="s">
        <v>2256</v>
      </c>
    </row>
    <row r="144" spans="1:7" ht="60" customHeight="1" x14ac:dyDescent="0.45">
      <c r="A144" s="22" t="s">
        <v>1272</v>
      </c>
      <c r="B144" s="22" t="s">
        <v>1280</v>
      </c>
      <c r="C144" s="3" t="s">
        <v>2715</v>
      </c>
      <c r="D144" s="3" t="s">
        <v>2502</v>
      </c>
      <c r="E144" s="23" t="s">
        <v>2503</v>
      </c>
      <c r="F144" s="3" t="s">
        <v>2504</v>
      </c>
      <c r="G144" s="22" t="s">
        <v>2256</v>
      </c>
    </row>
    <row r="145" spans="1:7" ht="30" customHeight="1" x14ac:dyDescent="0.45">
      <c r="A145" s="22" t="s">
        <v>1286</v>
      </c>
      <c r="B145" s="22" t="s">
        <v>1280</v>
      </c>
      <c r="C145" s="3" t="s">
        <v>2716</v>
      </c>
      <c r="D145" s="3" t="s">
        <v>2062</v>
      </c>
      <c r="E145" s="23" t="s">
        <v>2391</v>
      </c>
      <c r="F145" s="3" t="s">
        <v>2717</v>
      </c>
      <c r="G145" s="22" t="s">
        <v>2256</v>
      </c>
    </row>
    <row r="146" spans="1:7" ht="18" customHeight="1" x14ac:dyDescent="0.45">
      <c r="A146" s="22" t="s">
        <v>1314</v>
      </c>
      <c r="B146" s="22" t="s">
        <v>1280</v>
      </c>
      <c r="C146" s="3" t="s">
        <v>2718</v>
      </c>
      <c r="D146" s="3" t="s">
        <v>2483</v>
      </c>
      <c r="E146" s="23" t="s">
        <v>2719</v>
      </c>
      <c r="F146" s="3" t="s">
        <v>2485</v>
      </c>
      <c r="G146" s="22" t="s">
        <v>2256</v>
      </c>
    </row>
    <row r="147" spans="1:7" ht="30" customHeight="1" x14ac:dyDescent="0.45">
      <c r="A147" s="22" t="s">
        <v>2720</v>
      </c>
      <c r="B147" s="22" t="s">
        <v>1280</v>
      </c>
      <c r="C147" s="3" t="s">
        <v>2721</v>
      </c>
      <c r="D147" s="3" t="s">
        <v>2062</v>
      </c>
      <c r="E147" s="23" t="s">
        <v>2489</v>
      </c>
      <c r="F147" s="3" t="s">
        <v>2291</v>
      </c>
      <c r="G147" s="22" t="s">
        <v>2256</v>
      </c>
    </row>
    <row r="148" spans="1:7" ht="30" customHeight="1" x14ac:dyDescent="0.45">
      <c r="A148" s="22" t="s">
        <v>2722</v>
      </c>
      <c r="B148" s="22" t="s">
        <v>1280</v>
      </c>
      <c r="C148" s="3" t="s">
        <v>2723</v>
      </c>
      <c r="D148" s="3" t="s">
        <v>2062</v>
      </c>
      <c r="E148" s="23" t="s">
        <v>2492</v>
      </c>
      <c r="F148" s="3" t="s">
        <v>2291</v>
      </c>
      <c r="G148" s="22" t="s">
        <v>2256</v>
      </c>
    </row>
    <row r="149" spans="1:7" ht="45" customHeight="1" x14ac:dyDescent="0.45">
      <c r="A149" s="22" t="s">
        <v>1715</v>
      </c>
      <c r="B149" s="22" t="s">
        <v>2724</v>
      </c>
      <c r="C149" s="3" t="s">
        <v>2289</v>
      </c>
      <c r="D149" s="3" t="s">
        <v>2062</v>
      </c>
      <c r="E149" s="23" t="s">
        <v>2290</v>
      </c>
      <c r="F149" s="3" t="s">
        <v>2725</v>
      </c>
      <c r="G149" s="22" t="s">
        <v>2256</v>
      </c>
    </row>
    <row r="150" spans="1:7" ht="30" customHeight="1" x14ac:dyDescent="0.45">
      <c r="A150" s="22" t="s">
        <v>1738</v>
      </c>
      <c r="B150" s="22" t="s">
        <v>2724</v>
      </c>
      <c r="C150" s="3" t="s">
        <v>2726</v>
      </c>
      <c r="D150" s="3" t="s">
        <v>2727</v>
      </c>
      <c r="E150" s="23" t="s">
        <v>2728</v>
      </c>
      <c r="F150" s="3" t="s">
        <v>2729</v>
      </c>
      <c r="G150" s="22" t="s">
        <v>2256</v>
      </c>
    </row>
    <row r="151" spans="1:7" ht="18" customHeight="1" x14ac:dyDescent="0.45">
      <c r="A151" s="22" t="s">
        <v>1712</v>
      </c>
      <c r="B151" s="22" t="s">
        <v>2724</v>
      </c>
      <c r="C151" s="3" t="s">
        <v>2730</v>
      </c>
      <c r="D151" s="3" t="s">
        <v>2731</v>
      </c>
      <c r="E151" s="23" t="s">
        <v>2732</v>
      </c>
      <c r="F151" s="3" t="s">
        <v>2733</v>
      </c>
      <c r="G151" s="22" t="s">
        <v>2256</v>
      </c>
    </row>
    <row r="152" spans="1:7" ht="18" customHeight="1" x14ac:dyDescent="0.45">
      <c r="A152" s="22" t="s">
        <v>1731</v>
      </c>
      <c r="B152" s="22" t="s">
        <v>2724</v>
      </c>
      <c r="C152" s="3" t="s">
        <v>2734</v>
      </c>
      <c r="D152" s="3" t="s">
        <v>2731</v>
      </c>
      <c r="E152" s="23" t="s">
        <v>2735</v>
      </c>
      <c r="F152" s="3" t="s">
        <v>2736</v>
      </c>
      <c r="G152" s="22" t="s">
        <v>2256</v>
      </c>
    </row>
    <row r="153" spans="1:7" ht="30" customHeight="1" x14ac:dyDescent="0.45">
      <c r="A153" s="22" t="s">
        <v>2737</v>
      </c>
      <c r="B153" s="22" t="s">
        <v>2724</v>
      </c>
      <c r="C153" s="3" t="s">
        <v>2738</v>
      </c>
      <c r="D153" s="3" t="s">
        <v>2062</v>
      </c>
      <c r="E153" s="23" t="s">
        <v>2739</v>
      </c>
      <c r="F153" s="3" t="s">
        <v>2740</v>
      </c>
      <c r="G153" s="22" t="s">
        <v>2256</v>
      </c>
    </row>
    <row r="154" spans="1:7" ht="30" customHeight="1" x14ac:dyDescent="0.45">
      <c r="A154" s="22" t="s">
        <v>1772</v>
      </c>
      <c r="B154" s="22" t="s">
        <v>2724</v>
      </c>
      <c r="C154" s="3" t="s">
        <v>2741</v>
      </c>
      <c r="D154" s="3" t="s">
        <v>2742</v>
      </c>
      <c r="E154" s="23" t="s">
        <v>2743</v>
      </c>
      <c r="F154" s="3" t="s">
        <v>2744</v>
      </c>
      <c r="G154" s="22" t="s">
        <v>2256</v>
      </c>
    </row>
    <row r="155" spans="1:7" ht="30" customHeight="1" x14ac:dyDescent="0.45">
      <c r="A155" s="22" t="s">
        <v>1722</v>
      </c>
      <c r="B155" s="22" t="s">
        <v>2724</v>
      </c>
      <c r="C155" s="3" t="s">
        <v>2439</v>
      </c>
      <c r="D155" s="3" t="s">
        <v>2098</v>
      </c>
      <c r="E155" s="23" t="s">
        <v>2440</v>
      </c>
      <c r="F155" s="3" t="s">
        <v>2745</v>
      </c>
      <c r="G155" s="22" t="s">
        <v>2256</v>
      </c>
    </row>
    <row r="156" spans="1:7" ht="30" customHeight="1" x14ac:dyDescent="0.45">
      <c r="A156" s="22" t="s">
        <v>1762</v>
      </c>
      <c r="B156" s="22" t="s">
        <v>2724</v>
      </c>
      <c r="C156" s="3" t="s">
        <v>2257</v>
      </c>
      <c r="D156" s="3" t="s">
        <v>2253</v>
      </c>
      <c r="E156" s="23" t="s">
        <v>2258</v>
      </c>
      <c r="F156" s="3" t="s">
        <v>2255</v>
      </c>
      <c r="G156" s="22" t="s">
        <v>2256</v>
      </c>
    </row>
    <row r="157" spans="1:7" ht="60" customHeight="1" x14ac:dyDescent="0.45">
      <c r="A157" s="22" t="s">
        <v>1734</v>
      </c>
      <c r="B157" s="22" t="s">
        <v>2724</v>
      </c>
      <c r="C157" s="3" t="s">
        <v>2746</v>
      </c>
      <c r="D157" s="3" t="s">
        <v>2747</v>
      </c>
      <c r="E157" s="23" t="s">
        <v>2748</v>
      </c>
      <c r="F157" s="3" t="s">
        <v>2749</v>
      </c>
      <c r="G157" s="22" t="s">
        <v>2256</v>
      </c>
    </row>
    <row r="158" spans="1:7" ht="45" customHeight="1" x14ac:dyDescent="0.45">
      <c r="A158" s="22" t="s">
        <v>1785</v>
      </c>
      <c r="B158" s="22" t="s">
        <v>2724</v>
      </c>
      <c r="C158" s="3" t="s">
        <v>528</v>
      </c>
      <c r="D158" s="3" t="s">
        <v>2062</v>
      </c>
      <c r="E158" s="23" t="s">
        <v>2332</v>
      </c>
      <c r="F158" s="3" t="s">
        <v>2750</v>
      </c>
      <c r="G158" s="22" t="s">
        <v>2256</v>
      </c>
    </row>
    <row r="159" spans="1:7" ht="30" customHeight="1" x14ac:dyDescent="0.45">
      <c r="A159" s="22" t="s">
        <v>1798</v>
      </c>
      <c r="B159" s="22" t="s">
        <v>2724</v>
      </c>
      <c r="C159" s="3" t="s">
        <v>2709</v>
      </c>
      <c r="D159" s="3" t="s">
        <v>2062</v>
      </c>
      <c r="E159" s="23" t="s">
        <v>2342</v>
      </c>
      <c r="F159" s="3" t="s">
        <v>2343</v>
      </c>
      <c r="G159" s="22" t="s">
        <v>2256</v>
      </c>
    </row>
    <row r="160" spans="1:7" ht="30" customHeight="1" x14ac:dyDescent="0.45">
      <c r="A160" s="22" t="s">
        <v>1789</v>
      </c>
      <c r="B160" s="22" t="s">
        <v>2724</v>
      </c>
      <c r="C160" s="3" t="s">
        <v>528</v>
      </c>
      <c r="D160" s="3" t="s">
        <v>2727</v>
      </c>
      <c r="E160" s="23" t="s">
        <v>2751</v>
      </c>
      <c r="F160" s="3" t="s">
        <v>2752</v>
      </c>
      <c r="G160" s="22" t="s">
        <v>2256</v>
      </c>
    </row>
    <row r="161" spans="1:7" ht="30" customHeight="1" x14ac:dyDescent="0.45">
      <c r="A161" s="22" t="s">
        <v>1782</v>
      </c>
      <c r="B161" s="22" t="s">
        <v>2724</v>
      </c>
      <c r="C161" s="3" t="s">
        <v>2753</v>
      </c>
      <c r="D161" s="3" t="s">
        <v>2093</v>
      </c>
      <c r="E161" s="23" t="s">
        <v>2713</v>
      </c>
      <c r="F161" s="3" t="s">
        <v>2714</v>
      </c>
      <c r="G161" s="22" t="s">
        <v>2256</v>
      </c>
    </row>
    <row r="162" spans="1:7" ht="60" customHeight="1" x14ac:dyDescent="0.45">
      <c r="A162" s="22" t="s">
        <v>1795</v>
      </c>
      <c r="B162" s="22" t="s">
        <v>2724</v>
      </c>
      <c r="C162" s="3" t="s">
        <v>2754</v>
      </c>
      <c r="D162" s="3" t="s">
        <v>2093</v>
      </c>
      <c r="E162" s="23" t="s">
        <v>2755</v>
      </c>
      <c r="F162" s="3" t="s">
        <v>2756</v>
      </c>
      <c r="G162" s="22" t="s">
        <v>2256</v>
      </c>
    </row>
    <row r="163" spans="1:7" ht="30" customHeight="1" x14ac:dyDescent="0.45">
      <c r="A163" s="22" t="s">
        <v>1815</v>
      </c>
      <c r="B163" s="22" t="s">
        <v>2724</v>
      </c>
      <c r="C163" s="3" t="s">
        <v>2757</v>
      </c>
      <c r="D163" s="3" t="s">
        <v>2093</v>
      </c>
      <c r="E163" s="23" t="s">
        <v>2758</v>
      </c>
      <c r="F163" s="3" t="s">
        <v>2759</v>
      </c>
      <c r="G163" s="22" t="s">
        <v>2256</v>
      </c>
    </row>
    <row r="164" spans="1:7" ht="30" customHeight="1" x14ac:dyDescent="0.45">
      <c r="A164" s="22" t="s">
        <v>1825</v>
      </c>
      <c r="B164" s="22" t="s">
        <v>2724</v>
      </c>
      <c r="C164" s="3" t="s">
        <v>2760</v>
      </c>
      <c r="D164" s="3" t="s">
        <v>2067</v>
      </c>
      <c r="E164" s="23" t="s">
        <v>2318</v>
      </c>
      <c r="F164" s="3" t="s">
        <v>2761</v>
      </c>
      <c r="G164" s="22" t="s">
        <v>2256</v>
      </c>
    </row>
    <row r="165" spans="1:7" ht="45" customHeight="1" x14ac:dyDescent="0.45">
      <c r="A165" s="22" t="s">
        <v>1827</v>
      </c>
      <c r="B165" s="22" t="s">
        <v>2724</v>
      </c>
      <c r="C165" s="3" t="s">
        <v>2762</v>
      </c>
      <c r="D165" s="3" t="s">
        <v>2311</v>
      </c>
      <c r="E165" s="23" t="s">
        <v>2335</v>
      </c>
      <c r="F165" s="3" t="s">
        <v>2763</v>
      </c>
      <c r="G165" s="22" t="s">
        <v>2256</v>
      </c>
    </row>
    <row r="166" spans="1:7" ht="30" customHeight="1" x14ac:dyDescent="0.45">
      <c r="A166" s="22" t="s">
        <v>1829</v>
      </c>
      <c r="B166" s="22" t="s">
        <v>2724</v>
      </c>
      <c r="C166" s="3" t="s">
        <v>2764</v>
      </c>
      <c r="D166" s="3" t="s">
        <v>2062</v>
      </c>
      <c r="E166" s="23" t="s">
        <v>2765</v>
      </c>
      <c r="F166" s="3" t="s">
        <v>2766</v>
      </c>
      <c r="G166" s="22" t="s">
        <v>2256</v>
      </c>
    </row>
    <row r="167" spans="1:7" ht="30" customHeight="1" x14ac:dyDescent="0.45">
      <c r="A167" s="22" t="s">
        <v>1852</v>
      </c>
      <c r="B167" s="22" t="s">
        <v>2724</v>
      </c>
      <c r="C167" s="3" t="s">
        <v>2767</v>
      </c>
      <c r="D167" s="3" t="s">
        <v>2062</v>
      </c>
      <c r="E167" s="23" t="s">
        <v>2391</v>
      </c>
      <c r="F167" s="3" t="s">
        <v>2768</v>
      </c>
      <c r="G167" s="22" t="s">
        <v>2256</v>
      </c>
    </row>
    <row r="168" spans="1:7" ht="45" customHeight="1" x14ac:dyDescent="0.45">
      <c r="A168" s="22" t="s">
        <v>1847</v>
      </c>
      <c r="B168" s="22" t="s">
        <v>2724</v>
      </c>
      <c r="C168" s="3" t="s">
        <v>2769</v>
      </c>
      <c r="D168" s="3" t="s">
        <v>2062</v>
      </c>
      <c r="E168" s="23" t="s">
        <v>2770</v>
      </c>
      <c r="F168" s="3" t="s">
        <v>2291</v>
      </c>
      <c r="G168" s="22" t="s">
        <v>2256</v>
      </c>
    </row>
    <row r="169" spans="1:7" ht="30" customHeight="1" x14ac:dyDescent="0.45">
      <c r="A169" s="22" t="s">
        <v>1866</v>
      </c>
      <c r="B169" s="22" t="s">
        <v>2724</v>
      </c>
      <c r="C169" s="3" t="s">
        <v>2771</v>
      </c>
      <c r="D169" s="3" t="s">
        <v>2727</v>
      </c>
      <c r="E169" s="23" t="s">
        <v>2772</v>
      </c>
      <c r="F169" s="3" t="s">
        <v>2752</v>
      </c>
      <c r="G169" s="22" t="s">
        <v>2256</v>
      </c>
    </row>
    <row r="170" spans="1:7" ht="30" customHeight="1" x14ac:dyDescent="0.45">
      <c r="A170" s="22" t="s">
        <v>1868</v>
      </c>
      <c r="B170" s="22" t="s">
        <v>2724</v>
      </c>
      <c r="C170" s="3" t="s">
        <v>2378</v>
      </c>
      <c r="D170" s="3" t="s">
        <v>2311</v>
      </c>
      <c r="E170" s="23" t="s">
        <v>2379</v>
      </c>
      <c r="F170" s="3" t="s">
        <v>2380</v>
      </c>
      <c r="G170" s="22" t="s">
        <v>2256</v>
      </c>
    </row>
    <row r="171" spans="1:7" ht="30" customHeight="1" x14ac:dyDescent="0.45">
      <c r="A171" s="22" t="s">
        <v>1897</v>
      </c>
      <c r="B171" s="22" t="s">
        <v>2724</v>
      </c>
      <c r="C171" s="3" t="s">
        <v>2773</v>
      </c>
      <c r="D171" s="3" t="s">
        <v>2774</v>
      </c>
      <c r="E171" s="23" t="s">
        <v>2353</v>
      </c>
      <c r="F171" s="3" t="s">
        <v>2316</v>
      </c>
      <c r="G171" s="22" t="s">
        <v>2256</v>
      </c>
    </row>
    <row r="172" spans="1:7" ht="30" customHeight="1" x14ac:dyDescent="0.45">
      <c r="A172" s="22" t="s">
        <v>1904</v>
      </c>
      <c r="B172" s="22" t="s">
        <v>2724</v>
      </c>
      <c r="C172" s="3" t="s">
        <v>2775</v>
      </c>
      <c r="D172" s="3" t="s">
        <v>2067</v>
      </c>
      <c r="E172" s="23" t="s">
        <v>2361</v>
      </c>
      <c r="F172" s="3" t="s">
        <v>2362</v>
      </c>
      <c r="G172" s="22" t="s">
        <v>2256</v>
      </c>
    </row>
    <row r="173" spans="1:7" ht="30" customHeight="1" x14ac:dyDescent="0.45">
      <c r="A173" s="22" t="s">
        <v>1900</v>
      </c>
      <c r="B173" s="22" t="s">
        <v>2724</v>
      </c>
      <c r="C173" s="3" t="s">
        <v>2776</v>
      </c>
      <c r="D173" s="3" t="s">
        <v>2067</v>
      </c>
      <c r="E173" s="23" t="s">
        <v>2364</v>
      </c>
      <c r="F173" s="3" t="s">
        <v>2777</v>
      </c>
      <c r="G173" s="22" t="s">
        <v>2256</v>
      </c>
    </row>
    <row r="174" spans="1:7" ht="30" customHeight="1" x14ac:dyDescent="0.45">
      <c r="A174" s="22" t="s">
        <v>1863</v>
      </c>
      <c r="B174" s="22" t="s">
        <v>2724</v>
      </c>
      <c r="C174" s="3" t="s">
        <v>2778</v>
      </c>
      <c r="D174" s="3" t="s">
        <v>2093</v>
      </c>
      <c r="E174" s="23" t="s">
        <v>2779</v>
      </c>
      <c r="F174" s="3" t="s">
        <v>2780</v>
      </c>
      <c r="G174" s="22" t="s">
        <v>2256</v>
      </c>
    </row>
    <row r="175" spans="1:7" ht="45" customHeight="1" x14ac:dyDescent="0.45">
      <c r="A175" s="22" t="s">
        <v>1860</v>
      </c>
      <c r="B175" s="22" t="s">
        <v>2724</v>
      </c>
      <c r="C175" s="3" t="s">
        <v>2781</v>
      </c>
      <c r="D175" s="3" t="s">
        <v>2093</v>
      </c>
      <c r="E175" s="23" t="s">
        <v>2782</v>
      </c>
      <c r="F175" s="3" t="s">
        <v>2783</v>
      </c>
      <c r="G175" s="22" t="s">
        <v>2256</v>
      </c>
    </row>
    <row r="176" spans="1:7" ht="60" customHeight="1" x14ac:dyDescent="0.45">
      <c r="A176" s="22" t="s">
        <v>2784</v>
      </c>
      <c r="B176" s="22" t="s">
        <v>2724</v>
      </c>
      <c r="C176" s="3" t="s">
        <v>2785</v>
      </c>
      <c r="D176" s="3" t="s">
        <v>2093</v>
      </c>
      <c r="E176" s="23" t="s">
        <v>2786</v>
      </c>
      <c r="F176" s="3" t="s">
        <v>2783</v>
      </c>
      <c r="G176" s="22" t="s">
        <v>2256</v>
      </c>
    </row>
    <row r="177" spans="1:7" ht="30" customHeight="1" x14ac:dyDescent="0.45">
      <c r="A177" s="22" t="s">
        <v>1938</v>
      </c>
      <c r="B177" s="22" t="s">
        <v>2724</v>
      </c>
      <c r="C177" s="3" t="s">
        <v>532</v>
      </c>
      <c r="D177" s="3" t="s">
        <v>2062</v>
      </c>
      <c r="E177" s="23" t="s">
        <v>2417</v>
      </c>
      <c r="F177" s="3" t="s">
        <v>2787</v>
      </c>
      <c r="G177" s="22" t="s">
        <v>2256</v>
      </c>
    </row>
    <row r="178" spans="1:7" ht="30" customHeight="1" x14ac:dyDescent="0.45">
      <c r="A178" s="22" t="s">
        <v>2788</v>
      </c>
      <c r="B178" s="22" t="s">
        <v>2724</v>
      </c>
      <c r="C178" s="3" t="s">
        <v>532</v>
      </c>
      <c r="D178" s="3" t="s">
        <v>2727</v>
      </c>
      <c r="E178" s="23" t="s">
        <v>2789</v>
      </c>
      <c r="F178" s="3" t="s">
        <v>2729</v>
      </c>
      <c r="G178" s="22" t="s">
        <v>2256</v>
      </c>
    </row>
    <row r="179" spans="1:7" ht="30" customHeight="1" x14ac:dyDescent="0.45">
      <c r="A179" s="22" t="s">
        <v>1923</v>
      </c>
      <c r="B179" s="22" t="s">
        <v>2724</v>
      </c>
      <c r="C179" s="3" t="s">
        <v>2790</v>
      </c>
      <c r="D179" s="3" t="s">
        <v>2062</v>
      </c>
      <c r="E179" s="23" t="s">
        <v>2436</v>
      </c>
      <c r="F179" s="3" t="s">
        <v>2291</v>
      </c>
      <c r="G179" s="22" t="s">
        <v>2256</v>
      </c>
    </row>
    <row r="180" spans="1:7" ht="45" customHeight="1" x14ac:dyDescent="0.45">
      <c r="A180" s="22" t="s">
        <v>1920</v>
      </c>
      <c r="B180" s="22" t="s">
        <v>2724</v>
      </c>
      <c r="C180" s="3" t="s">
        <v>2791</v>
      </c>
      <c r="D180" s="3" t="s">
        <v>2483</v>
      </c>
      <c r="E180" s="23" t="s">
        <v>2484</v>
      </c>
      <c r="F180" s="3" t="s">
        <v>2792</v>
      </c>
      <c r="G180" s="22" t="s">
        <v>2256</v>
      </c>
    </row>
    <row r="181" spans="1:7" ht="60" customHeight="1" x14ac:dyDescent="0.45">
      <c r="A181" s="22" t="s">
        <v>1979</v>
      </c>
      <c r="B181" s="22" t="s">
        <v>2724</v>
      </c>
      <c r="C181" s="3" t="s">
        <v>2793</v>
      </c>
      <c r="D181" s="3" t="s">
        <v>2794</v>
      </c>
      <c r="E181" s="23" t="s">
        <v>2795</v>
      </c>
      <c r="F181" s="3" t="s">
        <v>2796</v>
      </c>
      <c r="G181" s="22" t="s">
        <v>2256</v>
      </c>
    </row>
    <row r="182" spans="1:7" ht="60" customHeight="1" x14ac:dyDescent="0.45">
      <c r="A182" s="22" t="s">
        <v>1981</v>
      </c>
      <c r="B182" s="22" t="s">
        <v>2724</v>
      </c>
      <c r="C182" s="3" t="s">
        <v>2797</v>
      </c>
      <c r="D182" s="3" t="s">
        <v>2062</v>
      </c>
      <c r="E182" s="23" t="s">
        <v>2798</v>
      </c>
      <c r="F182" s="3" t="s">
        <v>2799</v>
      </c>
      <c r="G182" s="22" t="s">
        <v>2256</v>
      </c>
    </row>
    <row r="183" spans="1:7" ht="30" customHeight="1" x14ac:dyDescent="0.45">
      <c r="A183" s="22" t="s">
        <v>1957</v>
      </c>
      <c r="B183" s="22" t="s">
        <v>2724</v>
      </c>
      <c r="C183" s="3" t="s">
        <v>2800</v>
      </c>
      <c r="D183" s="3" t="s">
        <v>2690</v>
      </c>
      <c r="E183" s="23" t="s">
        <v>2801</v>
      </c>
      <c r="F183" s="3" t="s">
        <v>2802</v>
      </c>
      <c r="G183" s="22" t="s">
        <v>2256</v>
      </c>
    </row>
    <row r="184" spans="1:7" ht="30" customHeight="1" x14ac:dyDescent="0.45">
      <c r="A184" s="22" t="s">
        <v>1970</v>
      </c>
      <c r="B184" s="22" t="s">
        <v>2724</v>
      </c>
      <c r="C184" s="3" t="s">
        <v>2803</v>
      </c>
      <c r="D184" s="3" t="s">
        <v>2690</v>
      </c>
      <c r="E184" s="23" t="s">
        <v>2695</v>
      </c>
      <c r="F184" s="3" t="s">
        <v>2696</v>
      </c>
      <c r="G184" s="22" t="s">
        <v>2256</v>
      </c>
    </row>
    <row r="185" spans="1:7" ht="30" customHeight="1" x14ac:dyDescent="0.45">
      <c r="A185" s="22" t="s">
        <v>2804</v>
      </c>
      <c r="B185" s="22" t="s">
        <v>2724</v>
      </c>
      <c r="C185" s="3" t="s">
        <v>2805</v>
      </c>
      <c r="D185" s="3" t="s">
        <v>2699</v>
      </c>
      <c r="E185" s="23" t="s">
        <v>2700</v>
      </c>
      <c r="F185" s="3" t="s">
        <v>2701</v>
      </c>
      <c r="G185" s="22" t="s">
        <v>2256</v>
      </c>
    </row>
    <row r="186" spans="1:7" ht="30" customHeight="1" x14ac:dyDescent="0.45">
      <c r="A186" s="22" t="s">
        <v>1972</v>
      </c>
      <c r="B186" s="22" t="s">
        <v>2724</v>
      </c>
      <c r="C186" s="3" t="s">
        <v>2806</v>
      </c>
      <c r="D186" s="3" t="s">
        <v>2062</v>
      </c>
      <c r="E186" s="23" t="s">
        <v>2397</v>
      </c>
      <c r="F186" s="3" t="s">
        <v>2807</v>
      </c>
      <c r="G186" s="22" t="s">
        <v>2256</v>
      </c>
    </row>
    <row r="187" spans="1:7" ht="30" customHeight="1" x14ac:dyDescent="0.45">
      <c r="A187" s="22" t="s">
        <v>1936</v>
      </c>
      <c r="B187" s="22" t="s">
        <v>2724</v>
      </c>
      <c r="C187" s="3" t="s">
        <v>2808</v>
      </c>
      <c r="D187" s="3" t="s">
        <v>2062</v>
      </c>
      <c r="E187" s="23" t="s">
        <v>2809</v>
      </c>
      <c r="F187" s="3" t="s">
        <v>2810</v>
      </c>
      <c r="G187" s="22" t="s">
        <v>2256</v>
      </c>
    </row>
    <row r="188" spans="1:7" ht="30" customHeight="1" x14ac:dyDescent="0.45">
      <c r="A188" s="22" t="s">
        <v>1925</v>
      </c>
      <c r="B188" s="22" t="s">
        <v>2724</v>
      </c>
      <c r="C188" s="3" t="s">
        <v>2811</v>
      </c>
      <c r="D188" s="3" t="s">
        <v>2093</v>
      </c>
      <c r="E188" s="23" t="s">
        <v>2812</v>
      </c>
      <c r="F188" s="3" t="s">
        <v>2813</v>
      </c>
      <c r="G188" s="22" t="s">
        <v>2256</v>
      </c>
    </row>
    <row r="189" spans="1:7" ht="45" customHeight="1" x14ac:dyDescent="0.45">
      <c r="A189" s="22" t="s">
        <v>1933</v>
      </c>
      <c r="B189" s="22" t="s">
        <v>2724</v>
      </c>
      <c r="C189" s="3" t="s">
        <v>2814</v>
      </c>
      <c r="D189" s="3" t="s">
        <v>2093</v>
      </c>
      <c r="E189" s="23" t="s">
        <v>2815</v>
      </c>
      <c r="F189" s="3" t="s">
        <v>2816</v>
      </c>
      <c r="G189" s="22" t="s">
        <v>2256</v>
      </c>
    </row>
    <row r="190" spans="1:7" ht="30" customHeight="1" x14ac:dyDescent="0.45">
      <c r="A190" s="22" t="s">
        <v>2817</v>
      </c>
      <c r="B190" s="22" t="s">
        <v>2724</v>
      </c>
      <c r="C190" s="3" t="s">
        <v>2818</v>
      </c>
      <c r="D190" s="3" t="s">
        <v>2093</v>
      </c>
      <c r="E190" s="23" t="s">
        <v>2819</v>
      </c>
      <c r="F190" s="3" t="s">
        <v>2291</v>
      </c>
      <c r="G190" s="22" t="s">
        <v>2256</v>
      </c>
    </row>
    <row r="191" spans="1:7" ht="45" customHeight="1" x14ac:dyDescent="0.45">
      <c r="A191" s="22" t="s">
        <v>2820</v>
      </c>
      <c r="B191" s="22" t="s">
        <v>2821</v>
      </c>
      <c r="C191" s="3" t="s">
        <v>2822</v>
      </c>
      <c r="D191" s="3" t="s">
        <v>2062</v>
      </c>
      <c r="E191" s="23" t="s">
        <v>2823</v>
      </c>
      <c r="F191" s="3" t="s">
        <v>2824</v>
      </c>
      <c r="G191" s="22" t="s">
        <v>2256</v>
      </c>
    </row>
    <row r="192" spans="1:7" ht="30" customHeight="1" x14ac:dyDescent="0.45">
      <c r="A192" s="22" t="s">
        <v>2825</v>
      </c>
      <c r="B192" s="22" t="s">
        <v>2821</v>
      </c>
      <c r="C192" s="3" t="s">
        <v>2009</v>
      </c>
      <c r="D192" s="3" t="s">
        <v>2067</v>
      </c>
      <c r="E192" s="23" t="s">
        <v>2826</v>
      </c>
      <c r="F192" s="3" t="s">
        <v>2827</v>
      </c>
      <c r="G192" s="22" t="s">
        <v>2256</v>
      </c>
    </row>
    <row r="193" spans="1:7" ht="45" customHeight="1" x14ac:dyDescent="0.45">
      <c r="A193" s="22" t="s">
        <v>2828</v>
      </c>
      <c r="B193" s="22" t="s">
        <v>2821</v>
      </c>
      <c r="C193" s="3" t="s">
        <v>2829</v>
      </c>
      <c r="D193" s="3" t="s">
        <v>2062</v>
      </c>
      <c r="E193" s="23" t="s">
        <v>2830</v>
      </c>
      <c r="F193" s="3" t="s">
        <v>2831</v>
      </c>
      <c r="G193" s="22" t="s">
        <v>2256</v>
      </c>
    </row>
    <row r="194" spans="1:7" ht="30" customHeight="1" x14ac:dyDescent="0.45">
      <c r="A194" s="22" t="s">
        <v>2832</v>
      </c>
      <c r="B194" s="22" t="s">
        <v>2821</v>
      </c>
      <c r="C194" s="3" t="s">
        <v>2014</v>
      </c>
      <c r="D194" s="3" t="s">
        <v>2067</v>
      </c>
      <c r="E194" s="23" t="s">
        <v>2833</v>
      </c>
      <c r="F194" s="3" t="s">
        <v>2834</v>
      </c>
      <c r="G194" s="22" t="s">
        <v>2256</v>
      </c>
    </row>
    <row r="195" spans="1:7" ht="45" customHeight="1" x14ac:dyDescent="0.45">
      <c r="A195" s="22" t="s">
        <v>2835</v>
      </c>
      <c r="B195" s="22" t="s">
        <v>2821</v>
      </c>
      <c r="C195" s="3" t="s">
        <v>2836</v>
      </c>
      <c r="D195" s="3" t="s">
        <v>2062</v>
      </c>
      <c r="E195" s="23" t="s">
        <v>2837</v>
      </c>
      <c r="F195" s="3" t="s">
        <v>2291</v>
      </c>
      <c r="G195" s="22" t="s">
        <v>2256</v>
      </c>
    </row>
    <row r="196" spans="1:7" ht="45" customHeight="1" x14ac:dyDescent="0.45">
      <c r="A196" s="22" t="s">
        <v>2838</v>
      </c>
      <c r="B196" s="22" t="s">
        <v>2821</v>
      </c>
      <c r="C196" s="3" t="s">
        <v>2839</v>
      </c>
      <c r="D196" s="3" t="s">
        <v>2062</v>
      </c>
      <c r="E196" s="23" t="s">
        <v>2840</v>
      </c>
      <c r="F196" s="3" t="s">
        <v>2841</v>
      </c>
      <c r="G196" s="22" t="s">
        <v>2256</v>
      </c>
    </row>
    <row r="197" spans="1:7" ht="30" customHeight="1" x14ac:dyDescent="0.45">
      <c r="A197" s="22" t="s">
        <v>2842</v>
      </c>
      <c r="B197" s="22" t="s">
        <v>2821</v>
      </c>
      <c r="C197" s="3" t="s">
        <v>2019</v>
      </c>
      <c r="D197" s="3" t="s">
        <v>2067</v>
      </c>
      <c r="E197" s="23" t="s">
        <v>2843</v>
      </c>
      <c r="F197" s="3" t="s">
        <v>2844</v>
      </c>
      <c r="G197" s="22" t="s">
        <v>2256</v>
      </c>
    </row>
    <row r="198" spans="1:7" ht="30" customHeight="1" x14ac:dyDescent="0.45">
      <c r="A198" s="22" t="s">
        <v>2845</v>
      </c>
      <c r="B198" s="22" t="s">
        <v>2821</v>
      </c>
      <c r="C198" s="3" t="s">
        <v>2846</v>
      </c>
      <c r="D198" s="3" t="s">
        <v>2093</v>
      </c>
      <c r="E198" s="23" t="s">
        <v>2812</v>
      </c>
      <c r="F198" s="3" t="s">
        <v>2813</v>
      </c>
      <c r="G198" s="22" t="s">
        <v>2256</v>
      </c>
    </row>
    <row r="199" spans="1:7" ht="30" customHeight="1" x14ac:dyDescent="0.45">
      <c r="A199" s="22" t="s">
        <v>2847</v>
      </c>
      <c r="B199" s="22" t="s">
        <v>2821</v>
      </c>
      <c r="C199" s="3" t="s">
        <v>2848</v>
      </c>
      <c r="D199" s="3" t="s">
        <v>2062</v>
      </c>
      <c r="E199" s="23" t="s">
        <v>2417</v>
      </c>
      <c r="F199" s="3" t="s">
        <v>2291</v>
      </c>
      <c r="G199" s="22" t="s">
        <v>2256</v>
      </c>
    </row>
    <row r="200" spans="1:7" ht="30" customHeight="1" x14ac:dyDescent="0.45">
      <c r="A200" s="22" t="s">
        <v>2849</v>
      </c>
      <c r="B200" s="22" t="s">
        <v>2821</v>
      </c>
      <c r="C200" s="3" t="s">
        <v>532</v>
      </c>
      <c r="D200" s="3" t="s">
        <v>2067</v>
      </c>
      <c r="E200" s="23" t="s">
        <v>2789</v>
      </c>
      <c r="F200" s="3" t="s">
        <v>2729</v>
      </c>
      <c r="G200" s="22" t="s">
        <v>2256</v>
      </c>
    </row>
    <row r="201" spans="1:7" ht="30" customHeight="1" x14ac:dyDescent="0.45">
      <c r="A201" s="22" t="s">
        <v>2850</v>
      </c>
      <c r="B201" s="22" t="s">
        <v>2821</v>
      </c>
      <c r="C201" s="3" t="s">
        <v>2028</v>
      </c>
      <c r="D201" s="3" t="s">
        <v>2067</v>
      </c>
      <c r="E201" s="23" t="s">
        <v>2851</v>
      </c>
      <c r="F201" s="3" t="s">
        <v>2852</v>
      </c>
      <c r="G201" s="22" t="s">
        <v>2256</v>
      </c>
    </row>
    <row r="202" spans="1:7" ht="45" customHeight="1" x14ac:dyDescent="0.45">
      <c r="A202" s="22" t="s">
        <v>2853</v>
      </c>
      <c r="B202" s="22" t="s">
        <v>2821</v>
      </c>
      <c r="C202" s="3" t="s">
        <v>2854</v>
      </c>
      <c r="D202" s="3" t="s">
        <v>2062</v>
      </c>
      <c r="E202" s="23" t="s">
        <v>2855</v>
      </c>
      <c r="F202" s="3" t="s">
        <v>2291</v>
      </c>
      <c r="G202" s="22" t="s">
        <v>2256</v>
      </c>
    </row>
    <row r="203" spans="1:7" ht="30" customHeight="1" x14ac:dyDescent="0.45">
      <c r="A203" s="22" t="s">
        <v>2856</v>
      </c>
      <c r="B203" s="22" t="s">
        <v>2821</v>
      </c>
      <c r="C203" s="3" t="s">
        <v>2033</v>
      </c>
      <c r="D203" s="3" t="s">
        <v>2067</v>
      </c>
      <c r="E203" s="23" t="s">
        <v>2857</v>
      </c>
      <c r="F203" s="3" t="s">
        <v>2858</v>
      </c>
      <c r="G203" s="22" t="s">
        <v>2256</v>
      </c>
    </row>
    <row r="204" spans="1:7" ht="30" customHeight="1" x14ac:dyDescent="0.45">
      <c r="A204" s="22" t="s">
        <v>2859</v>
      </c>
      <c r="B204" s="22" t="s">
        <v>2821</v>
      </c>
      <c r="C204" s="3" t="s">
        <v>2033</v>
      </c>
      <c r="D204" s="3" t="s">
        <v>2062</v>
      </c>
      <c r="E204" s="23" t="s">
        <v>2860</v>
      </c>
      <c r="F204" s="3" t="s">
        <v>2291</v>
      </c>
      <c r="G204" s="22" t="s">
        <v>2256</v>
      </c>
    </row>
    <row r="205" spans="1:7" ht="30" customHeight="1" x14ac:dyDescent="0.45">
      <c r="A205" s="22" t="s">
        <v>2861</v>
      </c>
      <c r="B205" s="22" t="s">
        <v>2821</v>
      </c>
      <c r="C205" s="3" t="s">
        <v>2038</v>
      </c>
      <c r="D205" s="3" t="s">
        <v>2067</v>
      </c>
      <c r="E205" s="23" t="s">
        <v>2862</v>
      </c>
      <c r="F205" s="3" t="s">
        <v>2863</v>
      </c>
      <c r="G205" s="22" t="s">
        <v>2256</v>
      </c>
    </row>
    <row r="206" spans="1:7" ht="30" customHeight="1" x14ac:dyDescent="0.45">
      <c r="A206" s="22" t="s">
        <v>2864</v>
      </c>
      <c r="B206" s="22" t="s">
        <v>2821</v>
      </c>
      <c r="C206" s="3" t="s">
        <v>2865</v>
      </c>
      <c r="D206" s="3" t="s">
        <v>2093</v>
      </c>
      <c r="E206" s="23" t="s">
        <v>2866</v>
      </c>
      <c r="F206" s="3" t="s">
        <v>2867</v>
      </c>
      <c r="G206" s="22" t="s">
        <v>2256</v>
      </c>
    </row>
    <row r="207" spans="1:7" ht="30" customHeight="1" x14ac:dyDescent="0.45">
      <c r="A207" s="22" t="s">
        <v>2868</v>
      </c>
      <c r="B207" s="22" t="s">
        <v>2821</v>
      </c>
      <c r="C207" s="3" t="s">
        <v>2043</v>
      </c>
      <c r="D207" s="3" t="s">
        <v>2067</v>
      </c>
      <c r="E207" s="23" t="s">
        <v>2869</v>
      </c>
      <c r="F207" s="3" t="s">
        <v>2870</v>
      </c>
      <c r="G207" s="22" t="s">
        <v>2256</v>
      </c>
    </row>
    <row r="208" spans="1:7" ht="30" customHeight="1" x14ac:dyDescent="0.45">
      <c r="A208" s="22" t="s">
        <v>2871</v>
      </c>
      <c r="B208" s="22" t="s">
        <v>2821</v>
      </c>
      <c r="C208" s="3" t="s">
        <v>2872</v>
      </c>
      <c r="D208" s="3" t="s">
        <v>2873</v>
      </c>
      <c r="E208" s="23" t="s">
        <v>2874</v>
      </c>
      <c r="F208" s="3" t="s">
        <v>2291</v>
      </c>
      <c r="G208" s="22" t="s">
        <v>2256</v>
      </c>
    </row>
    <row r="209" spans="1:7" ht="30" customHeight="1" x14ac:dyDescent="0.45">
      <c r="A209" s="22" t="s">
        <v>2875</v>
      </c>
      <c r="B209" s="22" t="s">
        <v>2821</v>
      </c>
      <c r="C209" s="3" t="s">
        <v>2876</v>
      </c>
      <c r="D209" s="3" t="s">
        <v>2062</v>
      </c>
      <c r="E209" s="23" t="s">
        <v>2877</v>
      </c>
      <c r="F209" s="3" t="s">
        <v>2878</v>
      </c>
      <c r="G209" s="22" t="s">
        <v>2256</v>
      </c>
    </row>
    <row r="210" spans="1:7" ht="18" customHeight="1" x14ac:dyDescent="0.45">
      <c r="A210" s="22" t="s">
        <v>2879</v>
      </c>
      <c r="B210" s="22" t="s">
        <v>2821</v>
      </c>
      <c r="C210" s="3" t="s">
        <v>2880</v>
      </c>
      <c r="D210" s="3" t="s">
        <v>2881</v>
      </c>
      <c r="E210" s="23" t="s">
        <v>2882</v>
      </c>
      <c r="F210" s="3" t="s">
        <v>2883</v>
      </c>
      <c r="G210" s="22" t="s">
        <v>2256</v>
      </c>
    </row>
    <row r="211" spans="1:7" ht="30" customHeight="1" x14ac:dyDescent="0.45">
      <c r="A211" s="22" t="s">
        <v>2884</v>
      </c>
      <c r="B211" s="22" t="s">
        <v>2821</v>
      </c>
      <c r="C211" s="3" t="s">
        <v>2885</v>
      </c>
      <c r="D211" s="3" t="s">
        <v>2093</v>
      </c>
      <c r="E211" s="23" t="s">
        <v>2886</v>
      </c>
      <c r="F211" s="3" t="s">
        <v>2887</v>
      </c>
      <c r="G211" s="22" t="s">
        <v>2256</v>
      </c>
    </row>
  </sheetData>
  <autoFilter ref="A4:G211" xr:uid="{00000000-0009-0000-0000-00000E000000}"/>
  <mergeCells count="1">
    <mergeCell ref="A2:G2"/>
  </mergeCells>
  <phoneticPr fontId="8"/>
  <hyperlinks>
    <hyperlink ref="E5" r:id="rId1" xr:uid="{00000000-0004-0000-0E00-000000000000}"/>
    <hyperlink ref="E6" r:id="rId2" xr:uid="{00000000-0004-0000-0E00-000001000000}"/>
    <hyperlink ref="E7" r:id="rId3" xr:uid="{00000000-0004-0000-0E00-000002000000}"/>
    <hyperlink ref="E8" r:id="rId4" xr:uid="{00000000-0004-0000-0E00-000003000000}"/>
    <hyperlink ref="E9" r:id="rId5" xr:uid="{00000000-0004-0000-0E00-000004000000}"/>
    <hyperlink ref="E10" r:id="rId6" xr:uid="{00000000-0004-0000-0E00-000005000000}"/>
    <hyperlink ref="E11" r:id="rId7" xr:uid="{00000000-0004-0000-0E00-000006000000}"/>
    <hyperlink ref="E12" r:id="rId8" xr:uid="{00000000-0004-0000-0E00-000007000000}"/>
    <hyperlink ref="E13" r:id="rId9" xr:uid="{00000000-0004-0000-0E00-000008000000}"/>
    <hyperlink ref="E14" r:id="rId10" xr:uid="{00000000-0004-0000-0E00-000009000000}"/>
    <hyperlink ref="E15" r:id="rId11" xr:uid="{00000000-0004-0000-0E00-00000A000000}"/>
    <hyperlink ref="E16" r:id="rId12" xr:uid="{00000000-0004-0000-0E00-00000B000000}"/>
    <hyperlink ref="E17" r:id="rId13" xr:uid="{00000000-0004-0000-0E00-00000C000000}"/>
    <hyperlink ref="E18" r:id="rId14" xr:uid="{00000000-0004-0000-0E00-00000D000000}"/>
    <hyperlink ref="E19" r:id="rId15" xr:uid="{00000000-0004-0000-0E00-00000E000000}"/>
    <hyperlink ref="E20" r:id="rId16" xr:uid="{00000000-0004-0000-0E00-00000F000000}"/>
    <hyperlink ref="E21" r:id="rId17" xr:uid="{00000000-0004-0000-0E00-000010000000}"/>
    <hyperlink ref="E22" r:id="rId18" xr:uid="{00000000-0004-0000-0E00-000011000000}"/>
    <hyperlink ref="E23" r:id="rId19" xr:uid="{00000000-0004-0000-0E00-000012000000}"/>
    <hyperlink ref="E24" r:id="rId20" xr:uid="{00000000-0004-0000-0E00-000013000000}"/>
    <hyperlink ref="E25" r:id="rId21" xr:uid="{00000000-0004-0000-0E00-000014000000}"/>
    <hyperlink ref="E26" r:id="rId22" xr:uid="{00000000-0004-0000-0E00-000015000000}"/>
    <hyperlink ref="E27" r:id="rId23" xr:uid="{00000000-0004-0000-0E00-000016000000}"/>
    <hyperlink ref="E28" r:id="rId24" xr:uid="{00000000-0004-0000-0E00-000017000000}"/>
    <hyperlink ref="E29" r:id="rId25" xr:uid="{00000000-0004-0000-0E00-000018000000}"/>
    <hyperlink ref="E30" r:id="rId26" xr:uid="{00000000-0004-0000-0E00-000019000000}"/>
    <hyperlink ref="E31" r:id="rId27" xr:uid="{00000000-0004-0000-0E00-00001A000000}"/>
    <hyperlink ref="E32" r:id="rId28" xr:uid="{00000000-0004-0000-0E00-00001B000000}"/>
    <hyperlink ref="E33" r:id="rId29" xr:uid="{00000000-0004-0000-0E00-00001C000000}"/>
    <hyperlink ref="E34" r:id="rId30" xr:uid="{00000000-0004-0000-0E00-00001D000000}"/>
    <hyperlink ref="E35" r:id="rId31" xr:uid="{00000000-0004-0000-0E00-00001E000000}"/>
    <hyperlink ref="E36" r:id="rId32" xr:uid="{00000000-0004-0000-0E00-00001F000000}"/>
    <hyperlink ref="E37" r:id="rId33" xr:uid="{00000000-0004-0000-0E00-000020000000}"/>
    <hyperlink ref="E38" r:id="rId34" xr:uid="{00000000-0004-0000-0E00-000021000000}"/>
    <hyperlink ref="E39" r:id="rId35" xr:uid="{00000000-0004-0000-0E00-000022000000}"/>
    <hyperlink ref="E40" r:id="rId36" xr:uid="{00000000-0004-0000-0E00-000023000000}"/>
    <hyperlink ref="E41" r:id="rId37" xr:uid="{00000000-0004-0000-0E00-000024000000}"/>
    <hyperlink ref="E42" r:id="rId38" xr:uid="{00000000-0004-0000-0E00-000025000000}"/>
    <hyperlink ref="E43" r:id="rId39" xr:uid="{00000000-0004-0000-0E00-000026000000}"/>
    <hyperlink ref="E44" r:id="rId40" xr:uid="{00000000-0004-0000-0E00-000027000000}"/>
    <hyperlink ref="E45" r:id="rId41" xr:uid="{00000000-0004-0000-0E00-000028000000}"/>
    <hyperlink ref="E46" r:id="rId42" xr:uid="{00000000-0004-0000-0E00-000029000000}"/>
    <hyperlink ref="E47" r:id="rId43" xr:uid="{00000000-0004-0000-0E00-00002A000000}"/>
    <hyperlink ref="E48" r:id="rId44" xr:uid="{00000000-0004-0000-0E00-00002B000000}"/>
    <hyperlink ref="E49" r:id="rId45" xr:uid="{00000000-0004-0000-0E00-00002C000000}"/>
    <hyperlink ref="E50" r:id="rId46" xr:uid="{00000000-0004-0000-0E00-00002D000000}"/>
    <hyperlink ref="E51" r:id="rId47" xr:uid="{00000000-0004-0000-0E00-00002E000000}"/>
    <hyperlink ref="E52" r:id="rId48" xr:uid="{00000000-0004-0000-0E00-00002F000000}"/>
    <hyperlink ref="E53" r:id="rId49" xr:uid="{00000000-0004-0000-0E00-000030000000}"/>
    <hyperlink ref="E54" r:id="rId50" xr:uid="{00000000-0004-0000-0E00-000031000000}"/>
    <hyperlink ref="E55" r:id="rId51" xr:uid="{00000000-0004-0000-0E00-000032000000}"/>
    <hyperlink ref="E56" r:id="rId52" xr:uid="{00000000-0004-0000-0E00-000033000000}"/>
    <hyperlink ref="E57" r:id="rId53" xr:uid="{00000000-0004-0000-0E00-000034000000}"/>
    <hyperlink ref="E58" r:id="rId54" xr:uid="{00000000-0004-0000-0E00-000035000000}"/>
    <hyperlink ref="E59" r:id="rId55" xr:uid="{00000000-0004-0000-0E00-000036000000}"/>
    <hyperlink ref="E60" r:id="rId56" xr:uid="{00000000-0004-0000-0E00-000037000000}"/>
    <hyperlink ref="E61" r:id="rId57" xr:uid="{00000000-0004-0000-0E00-000038000000}"/>
    <hyperlink ref="E62" r:id="rId58" xr:uid="{00000000-0004-0000-0E00-000039000000}"/>
    <hyperlink ref="E63" r:id="rId59" xr:uid="{00000000-0004-0000-0E00-00003A000000}"/>
    <hyperlink ref="E64" r:id="rId60" xr:uid="{00000000-0004-0000-0E00-00003B000000}"/>
    <hyperlink ref="E65" r:id="rId61" xr:uid="{00000000-0004-0000-0E00-00003C000000}"/>
    <hyperlink ref="E66" r:id="rId62" xr:uid="{00000000-0004-0000-0E00-00003D000000}"/>
    <hyperlink ref="E67" r:id="rId63" xr:uid="{00000000-0004-0000-0E00-00003E000000}"/>
    <hyperlink ref="E68" r:id="rId64" xr:uid="{00000000-0004-0000-0E00-00003F000000}"/>
    <hyperlink ref="E69" r:id="rId65" xr:uid="{00000000-0004-0000-0E00-000040000000}"/>
    <hyperlink ref="E70" r:id="rId66" xr:uid="{00000000-0004-0000-0E00-000041000000}"/>
    <hyperlink ref="E71" r:id="rId67" xr:uid="{00000000-0004-0000-0E00-000042000000}"/>
    <hyperlink ref="E72" r:id="rId68" xr:uid="{00000000-0004-0000-0E00-000043000000}"/>
    <hyperlink ref="E73" r:id="rId69" xr:uid="{00000000-0004-0000-0E00-000044000000}"/>
    <hyperlink ref="E74" r:id="rId70" xr:uid="{00000000-0004-0000-0E00-000045000000}"/>
    <hyperlink ref="E75" r:id="rId71" xr:uid="{00000000-0004-0000-0E00-000046000000}"/>
    <hyperlink ref="E76" r:id="rId72" xr:uid="{00000000-0004-0000-0E00-000047000000}"/>
    <hyperlink ref="E77" r:id="rId73" xr:uid="{00000000-0004-0000-0E00-000048000000}"/>
    <hyperlink ref="E78" r:id="rId74" xr:uid="{00000000-0004-0000-0E00-000049000000}"/>
    <hyperlink ref="E79" r:id="rId75" xr:uid="{00000000-0004-0000-0E00-00004A000000}"/>
    <hyperlink ref="E80" r:id="rId76" xr:uid="{00000000-0004-0000-0E00-00004B000000}"/>
    <hyperlink ref="E81" r:id="rId77" xr:uid="{00000000-0004-0000-0E00-00004C000000}"/>
    <hyperlink ref="E82" r:id="rId78" xr:uid="{00000000-0004-0000-0E00-00004D000000}"/>
    <hyperlink ref="E83" r:id="rId79" xr:uid="{00000000-0004-0000-0E00-00004E000000}"/>
    <hyperlink ref="E84" r:id="rId80" xr:uid="{00000000-0004-0000-0E00-00004F000000}"/>
    <hyperlink ref="E85" r:id="rId81" xr:uid="{00000000-0004-0000-0E00-000050000000}"/>
    <hyperlink ref="E86" r:id="rId82" xr:uid="{00000000-0004-0000-0E00-000051000000}"/>
    <hyperlink ref="E87" r:id="rId83" xr:uid="{00000000-0004-0000-0E00-000052000000}"/>
    <hyperlink ref="E88" r:id="rId84" xr:uid="{00000000-0004-0000-0E00-000053000000}"/>
    <hyperlink ref="E89" r:id="rId85" xr:uid="{00000000-0004-0000-0E00-000054000000}"/>
    <hyperlink ref="E90" r:id="rId86" xr:uid="{00000000-0004-0000-0E00-000055000000}"/>
    <hyperlink ref="E91" r:id="rId87" xr:uid="{00000000-0004-0000-0E00-000056000000}"/>
    <hyperlink ref="E92" r:id="rId88" xr:uid="{00000000-0004-0000-0E00-000057000000}"/>
    <hyperlink ref="E93" r:id="rId89" xr:uid="{00000000-0004-0000-0E00-000058000000}"/>
    <hyperlink ref="E94" r:id="rId90" xr:uid="{00000000-0004-0000-0E00-000059000000}"/>
    <hyperlink ref="E95" r:id="rId91" xr:uid="{00000000-0004-0000-0E00-00005A000000}"/>
    <hyperlink ref="E96" r:id="rId92" xr:uid="{00000000-0004-0000-0E00-00005B000000}"/>
    <hyperlink ref="E97" r:id="rId93" xr:uid="{00000000-0004-0000-0E00-00005C000000}"/>
    <hyperlink ref="E98" r:id="rId94" xr:uid="{00000000-0004-0000-0E00-00005D000000}"/>
    <hyperlink ref="E99" r:id="rId95" xr:uid="{00000000-0004-0000-0E00-00005E000000}"/>
    <hyperlink ref="E100" r:id="rId96" xr:uid="{00000000-0004-0000-0E00-00005F000000}"/>
    <hyperlink ref="E101" r:id="rId97" xr:uid="{00000000-0004-0000-0E00-000060000000}"/>
    <hyperlink ref="E102" r:id="rId98" xr:uid="{00000000-0004-0000-0E00-000061000000}"/>
    <hyperlink ref="E103" r:id="rId99" xr:uid="{00000000-0004-0000-0E00-000062000000}"/>
    <hyperlink ref="E104" r:id="rId100" xr:uid="{00000000-0004-0000-0E00-000063000000}"/>
    <hyperlink ref="E105" r:id="rId101" xr:uid="{00000000-0004-0000-0E00-000064000000}"/>
    <hyperlink ref="E106" r:id="rId102" xr:uid="{00000000-0004-0000-0E00-000065000000}"/>
    <hyperlink ref="E107" r:id="rId103" xr:uid="{00000000-0004-0000-0E00-000066000000}"/>
    <hyperlink ref="E108" r:id="rId104" xr:uid="{00000000-0004-0000-0E00-000067000000}"/>
    <hyperlink ref="E109" r:id="rId105" xr:uid="{00000000-0004-0000-0E00-000068000000}"/>
    <hyperlink ref="E110" r:id="rId106" xr:uid="{00000000-0004-0000-0E00-000069000000}"/>
    <hyperlink ref="E111" r:id="rId107" xr:uid="{00000000-0004-0000-0E00-00006A000000}"/>
    <hyperlink ref="E112" r:id="rId108" xr:uid="{00000000-0004-0000-0E00-00006B000000}"/>
    <hyperlink ref="E113" r:id="rId109" xr:uid="{00000000-0004-0000-0E00-00006C000000}"/>
    <hyperlink ref="E114" r:id="rId110" xr:uid="{00000000-0004-0000-0E00-00006D000000}"/>
    <hyperlink ref="E115" r:id="rId111" xr:uid="{00000000-0004-0000-0E00-00006E000000}"/>
    <hyperlink ref="E116" r:id="rId112" xr:uid="{00000000-0004-0000-0E00-00006F000000}"/>
    <hyperlink ref="E117" r:id="rId113" xr:uid="{00000000-0004-0000-0E00-000070000000}"/>
    <hyperlink ref="E118" r:id="rId114" xr:uid="{00000000-0004-0000-0E00-000071000000}"/>
    <hyperlink ref="E119" r:id="rId115" xr:uid="{00000000-0004-0000-0E00-000072000000}"/>
    <hyperlink ref="E120" r:id="rId116" xr:uid="{00000000-0004-0000-0E00-000073000000}"/>
    <hyperlink ref="E121" r:id="rId117" xr:uid="{00000000-0004-0000-0E00-000074000000}"/>
    <hyperlink ref="E122" r:id="rId118" xr:uid="{00000000-0004-0000-0E00-000075000000}"/>
    <hyperlink ref="E123" r:id="rId119" xr:uid="{00000000-0004-0000-0E00-000076000000}"/>
    <hyperlink ref="E124" r:id="rId120" xr:uid="{00000000-0004-0000-0E00-000077000000}"/>
    <hyperlink ref="E125" r:id="rId121" xr:uid="{00000000-0004-0000-0E00-000078000000}"/>
    <hyperlink ref="E126" r:id="rId122" xr:uid="{00000000-0004-0000-0E00-000079000000}"/>
    <hyperlink ref="E127" r:id="rId123" xr:uid="{00000000-0004-0000-0E00-00007A000000}"/>
    <hyperlink ref="E128" r:id="rId124" xr:uid="{00000000-0004-0000-0E00-00007B000000}"/>
    <hyperlink ref="E129" r:id="rId125" xr:uid="{00000000-0004-0000-0E00-00007C000000}"/>
    <hyperlink ref="E130" r:id="rId126" xr:uid="{00000000-0004-0000-0E00-00007D000000}"/>
    <hyperlink ref="E131" r:id="rId127" xr:uid="{00000000-0004-0000-0E00-00007E000000}"/>
    <hyperlink ref="E132" r:id="rId128" xr:uid="{00000000-0004-0000-0E00-00007F000000}"/>
    <hyperlink ref="E133" r:id="rId129" xr:uid="{00000000-0004-0000-0E00-000080000000}"/>
    <hyperlink ref="E134" r:id="rId130" xr:uid="{00000000-0004-0000-0E00-000081000000}"/>
    <hyperlink ref="E135" r:id="rId131" xr:uid="{00000000-0004-0000-0E00-000082000000}"/>
    <hyperlink ref="E136" r:id="rId132" xr:uid="{00000000-0004-0000-0E00-000083000000}"/>
    <hyperlink ref="E137" r:id="rId133" xr:uid="{00000000-0004-0000-0E00-000084000000}"/>
    <hyperlink ref="E138" r:id="rId134" xr:uid="{00000000-0004-0000-0E00-000085000000}"/>
    <hyperlink ref="E139" r:id="rId135" xr:uid="{00000000-0004-0000-0E00-000086000000}"/>
    <hyperlink ref="E140" r:id="rId136" xr:uid="{00000000-0004-0000-0E00-000087000000}"/>
    <hyperlink ref="E141" r:id="rId137" xr:uid="{00000000-0004-0000-0E00-000088000000}"/>
    <hyperlink ref="E142" r:id="rId138" xr:uid="{00000000-0004-0000-0E00-000089000000}"/>
    <hyperlink ref="E143" r:id="rId139" xr:uid="{00000000-0004-0000-0E00-00008A000000}"/>
    <hyperlink ref="E144" r:id="rId140" xr:uid="{00000000-0004-0000-0E00-00008B000000}"/>
    <hyperlink ref="E145" r:id="rId141" xr:uid="{00000000-0004-0000-0E00-00008C000000}"/>
    <hyperlink ref="E146" r:id="rId142" xr:uid="{00000000-0004-0000-0E00-00008D000000}"/>
    <hyperlink ref="E147" r:id="rId143" xr:uid="{00000000-0004-0000-0E00-00008E000000}"/>
    <hyperlink ref="E148" r:id="rId144" xr:uid="{00000000-0004-0000-0E00-00008F000000}"/>
    <hyperlink ref="E149" r:id="rId145" xr:uid="{00000000-0004-0000-0E00-000090000000}"/>
    <hyperlink ref="E150" r:id="rId146" xr:uid="{00000000-0004-0000-0E00-000091000000}"/>
    <hyperlink ref="E151" r:id="rId147" xr:uid="{00000000-0004-0000-0E00-000092000000}"/>
    <hyperlink ref="E152" r:id="rId148" xr:uid="{00000000-0004-0000-0E00-000093000000}"/>
    <hyperlink ref="E153" r:id="rId149" xr:uid="{00000000-0004-0000-0E00-000094000000}"/>
    <hyperlink ref="E154" r:id="rId150" xr:uid="{00000000-0004-0000-0E00-000095000000}"/>
    <hyperlink ref="E155" r:id="rId151" xr:uid="{00000000-0004-0000-0E00-000096000000}"/>
    <hyperlink ref="E156" r:id="rId152" xr:uid="{00000000-0004-0000-0E00-000097000000}"/>
    <hyperlink ref="E157" r:id="rId153" xr:uid="{00000000-0004-0000-0E00-000098000000}"/>
    <hyperlink ref="E158" r:id="rId154" xr:uid="{00000000-0004-0000-0E00-000099000000}"/>
    <hyperlink ref="E159" r:id="rId155" xr:uid="{00000000-0004-0000-0E00-00009A000000}"/>
    <hyperlink ref="E160" r:id="rId156" xr:uid="{00000000-0004-0000-0E00-00009B000000}"/>
    <hyperlink ref="E161" r:id="rId157" xr:uid="{00000000-0004-0000-0E00-00009C000000}"/>
    <hyperlink ref="E162" r:id="rId158" xr:uid="{00000000-0004-0000-0E00-00009D000000}"/>
    <hyperlink ref="E163" r:id="rId159" xr:uid="{00000000-0004-0000-0E00-00009E000000}"/>
    <hyperlink ref="E164" r:id="rId160" xr:uid="{00000000-0004-0000-0E00-00009F000000}"/>
    <hyperlink ref="E165" r:id="rId161" xr:uid="{00000000-0004-0000-0E00-0000A0000000}"/>
    <hyperlink ref="E166" r:id="rId162" xr:uid="{00000000-0004-0000-0E00-0000A1000000}"/>
    <hyperlink ref="E167" r:id="rId163" xr:uid="{00000000-0004-0000-0E00-0000A2000000}"/>
    <hyperlink ref="E168" r:id="rId164" xr:uid="{00000000-0004-0000-0E00-0000A3000000}"/>
    <hyperlink ref="E169" r:id="rId165" xr:uid="{00000000-0004-0000-0E00-0000A4000000}"/>
    <hyperlink ref="E170" r:id="rId166" xr:uid="{00000000-0004-0000-0E00-0000A5000000}"/>
    <hyperlink ref="E171" r:id="rId167" xr:uid="{00000000-0004-0000-0E00-0000A6000000}"/>
    <hyperlink ref="E172" r:id="rId168" xr:uid="{00000000-0004-0000-0E00-0000A7000000}"/>
    <hyperlink ref="E173" r:id="rId169" xr:uid="{00000000-0004-0000-0E00-0000A8000000}"/>
    <hyperlink ref="E174" r:id="rId170" xr:uid="{00000000-0004-0000-0E00-0000A9000000}"/>
    <hyperlink ref="E175" r:id="rId171" xr:uid="{00000000-0004-0000-0E00-0000AA000000}"/>
    <hyperlink ref="E176" r:id="rId172" xr:uid="{00000000-0004-0000-0E00-0000AB000000}"/>
    <hyperlink ref="E177" r:id="rId173" xr:uid="{00000000-0004-0000-0E00-0000AC000000}"/>
    <hyperlink ref="E178" r:id="rId174" xr:uid="{00000000-0004-0000-0E00-0000AD000000}"/>
    <hyperlink ref="E179" r:id="rId175" xr:uid="{00000000-0004-0000-0E00-0000AE000000}"/>
    <hyperlink ref="E180" r:id="rId176" xr:uid="{00000000-0004-0000-0E00-0000AF000000}"/>
    <hyperlink ref="E181" r:id="rId177" xr:uid="{00000000-0004-0000-0E00-0000B0000000}"/>
    <hyperlink ref="E182" r:id="rId178" xr:uid="{00000000-0004-0000-0E00-0000B1000000}"/>
    <hyperlink ref="E183" r:id="rId179" xr:uid="{00000000-0004-0000-0E00-0000B2000000}"/>
    <hyperlink ref="E184" r:id="rId180" xr:uid="{00000000-0004-0000-0E00-0000B3000000}"/>
    <hyperlink ref="E185" r:id="rId181" xr:uid="{00000000-0004-0000-0E00-0000B4000000}"/>
    <hyperlink ref="E186" r:id="rId182" xr:uid="{00000000-0004-0000-0E00-0000B5000000}"/>
    <hyperlink ref="E187" r:id="rId183" xr:uid="{00000000-0004-0000-0E00-0000B6000000}"/>
    <hyperlink ref="E188" r:id="rId184" xr:uid="{00000000-0004-0000-0E00-0000B7000000}"/>
    <hyperlink ref="E189" r:id="rId185" xr:uid="{00000000-0004-0000-0E00-0000B8000000}"/>
    <hyperlink ref="E190" r:id="rId186" xr:uid="{00000000-0004-0000-0E00-0000B9000000}"/>
    <hyperlink ref="E191" r:id="rId187" xr:uid="{00000000-0004-0000-0E00-0000BA000000}"/>
    <hyperlink ref="E192" r:id="rId188" xr:uid="{00000000-0004-0000-0E00-0000BB000000}"/>
    <hyperlink ref="E193" r:id="rId189" xr:uid="{00000000-0004-0000-0E00-0000BC000000}"/>
    <hyperlink ref="E194" r:id="rId190" xr:uid="{00000000-0004-0000-0E00-0000BD000000}"/>
    <hyperlink ref="E195" r:id="rId191" xr:uid="{00000000-0004-0000-0E00-0000BE000000}"/>
    <hyperlink ref="E196" r:id="rId192" xr:uid="{00000000-0004-0000-0E00-0000BF000000}"/>
    <hyperlink ref="E197" r:id="rId193" xr:uid="{00000000-0004-0000-0E00-0000C0000000}"/>
    <hyperlink ref="E198" r:id="rId194" xr:uid="{00000000-0004-0000-0E00-0000C1000000}"/>
    <hyperlink ref="E199" r:id="rId195" xr:uid="{00000000-0004-0000-0E00-0000C2000000}"/>
    <hyperlink ref="E200" r:id="rId196" xr:uid="{00000000-0004-0000-0E00-0000C3000000}"/>
    <hyperlink ref="E201" r:id="rId197" xr:uid="{00000000-0004-0000-0E00-0000C4000000}"/>
    <hyperlink ref="E202" r:id="rId198" xr:uid="{00000000-0004-0000-0E00-0000C5000000}"/>
    <hyperlink ref="E203" r:id="rId199" xr:uid="{00000000-0004-0000-0E00-0000C6000000}"/>
    <hyperlink ref="E204" r:id="rId200" xr:uid="{00000000-0004-0000-0E00-0000C7000000}"/>
    <hyperlink ref="E205" r:id="rId201" xr:uid="{00000000-0004-0000-0E00-0000C8000000}"/>
    <hyperlink ref="E206" r:id="rId202" xr:uid="{00000000-0004-0000-0E00-0000C9000000}"/>
    <hyperlink ref="E207" r:id="rId203" xr:uid="{00000000-0004-0000-0E00-0000CA000000}"/>
    <hyperlink ref="E208" r:id="rId204" xr:uid="{00000000-0004-0000-0E00-0000CB000000}"/>
    <hyperlink ref="E209" r:id="rId205" xr:uid="{00000000-0004-0000-0E00-0000CC000000}"/>
    <hyperlink ref="E210" r:id="rId206" xr:uid="{00000000-0004-0000-0E00-0000CD000000}"/>
    <hyperlink ref="E211" r:id="rId207" xr:uid="{00000000-0004-0000-0E00-0000CE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はじめに</vt:lpstr>
      <vt:lpstr>国別の比較</vt:lpstr>
      <vt:lpstr>協力覚書・入国前対策</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2026-10-26T13:50:33Z</dcterms:created>
  <dcterms:modified xsi:type="dcterms:W3CDTF">2026-10-26T13:51:34Z</dcterms:modified>
</cp:coreProperties>
</file>